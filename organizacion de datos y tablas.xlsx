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OneDrive\Escritorio\Platzi\Curso Ecxel Basico\"/>
    </mc:Choice>
  </mc:AlternateContent>
  <xr:revisionPtr revIDLastSave="0" documentId="13_ncr:1_{8053FA73-2269-433D-9DBC-84051E4C665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tro" sheetId="1" r:id="rId1"/>
    <sheet name="Organiza tu info" sheetId="2" r:id="rId2"/>
    <sheet name="RETO Movimientos del M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MeU5zdWqJitIYATFoCXlOM68I+rwz31644pdP+aOhKw="/>
    </ext>
  </extLst>
</workbook>
</file>

<file path=xl/calcChain.xml><?xml version="1.0" encoding="utf-8"?>
<calcChain xmlns="http://schemas.openxmlformats.org/spreadsheetml/2006/main">
  <c r="M125" i="3" l="1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2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9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63" i="3"/>
  <c r="M6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3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4" i="3"/>
</calcChain>
</file>

<file path=xl/sharedStrings.xml><?xml version="1.0" encoding="utf-8"?>
<sst xmlns="http://schemas.openxmlformats.org/spreadsheetml/2006/main" count="1334" uniqueCount="380">
  <si>
    <t>Módulo 1</t>
  </si>
  <si>
    <t>Fundamentos y Navegación en Excel</t>
  </si>
  <si>
    <t>Organiza tus datos como un Pro en Excel</t>
  </si>
  <si>
    <t>Copiar, cortar, insertar, eliminar filas/columnas, mover datos</t>
  </si>
  <si>
    <t>Profe: @soydatadani</t>
  </si>
  <si>
    <t>Área</t>
  </si>
  <si>
    <t>Fase de Proyecto</t>
  </si>
  <si>
    <t>Presupuesto</t>
  </si>
  <si>
    <t>Gastado</t>
  </si>
  <si>
    <t>Copiar/Cortar y Pegar filas/columnas.</t>
  </si>
  <si>
    <t>Marketing</t>
  </si>
  <si>
    <t>Campaña en redes sociales</t>
  </si>
  <si>
    <t>Mover datos (drag and drop o con atajos).</t>
  </si>
  <si>
    <t>Diseño de branding</t>
  </si>
  <si>
    <t>Reorganizar estructura de datos.</t>
  </si>
  <si>
    <t>Email marketing</t>
  </si>
  <si>
    <t>Atajos Esenciales</t>
  </si>
  <si>
    <t>Análisis de tendencias del mercado</t>
  </si>
  <si>
    <t>Gestión de campañas con influencers</t>
  </si>
  <si>
    <t>Optimización SEO y contenido web</t>
  </si>
  <si>
    <t>Desarrollo</t>
  </si>
  <si>
    <t>Diseño del prototipo</t>
  </si>
  <si>
    <t>Desarrollo de app</t>
  </si>
  <si>
    <t>Pruebas de usuario</t>
  </si>
  <si>
    <t>Integración con sistemas externos</t>
  </si>
  <si>
    <t>Optimización de código y rendimiento</t>
  </si>
  <si>
    <t>Documentación técnica del proyecto</t>
  </si>
  <si>
    <t>Logística</t>
  </si>
  <si>
    <t>Producción del empaque</t>
  </si>
  <si>
    <t>Distribución nacional</t>
  </si>
  <si>
    <t>Almacenaje</t>
  </si>
  <si>
    <t>Coordinación con proveedores</t>
  </si>
  <si>
    <t>Control de inventario en tiempo real</t>
  </si>
  <si>
    <t>Gestión de devoluciones</t>
  </si>
  <si>
    <t>Ventas</t>
  </si>
  <si>
    <t>Capacitación de vendedores</t>
  </si>
  <si>
    <t>Estrategia de precios</t>
  </si>
  <si>
    <t>CRM y seguimiento</t>
  </si>
  <si>
    <t>Generación de leads calificados</t>
  </si>
  <si>
    <t>Desarrollo de propuestas comerciales</t>
  </si>
  <si>
    <t>Seguimiento post-venta y fidelización</t>
  </si>
  <si>
    <t>ID Movimiento</t>
  </si>
  <si>
    <t>Tipo Movimiento</t>
  </si>
  <si>
    <t>Producto</t>
  </si>
  <si>
    <t>Código Producto</t>
  </si>
  <si>
    <t>Cantidad</t>
  </si>
  <si>
    <t>Precio Unitario</t>
  </si>
  <si>
    <t>Total</t>
  </si>
  <si>
    <t>Responsable</t>
  </si>
  <si>
    <t>Sucursal</t>
  </si>
  <si>
    <t>Departamento</t>
  </si>
  <si>
    <t>Estado Movimiento</t>
  </si>
  <si>
    <t>MOV-01-001</t>
  </si>
  <si>
    <t>Ajuste</t>
  </si>
  <si>
    <t>Producto A</t>
  </si>
  <si>
    <t>COD-2633</t>
  </si>
  <si>
    <t>Luis</t>
  </si>
  <si>
    <t>Sucursal Oeste</t>
  </si>
  <si>
    <t>Pendiente</t>
  </si>
  <si>
    <t>MOV-02-001</t>
  </si>
  <si>
    <t>Salida</t>
  </si>
  <si>
    <t>Producto C</t>
  </si>
  <si>
    <t>COD-2275</t>
  </si>
  <si>
    <t>Carlos</t>
  </si>
  <si>
    <t>Sucursal Sur</t>
  </si>
  <si>
    <t>Almacén</t>
  </si>
  <si>
    <t>MOV-03-001</t>
  </si>
  <si>
    <t>Producto D</t>
  </si>
  <si>
    <t>COD-4560</t>
  </si>
  <si>
    <t>Sucursal Este</t>
  </si>
  <si>
    <t>Cancelado</t>
  </si>
  <si>
    <t>MOV-04-001</t>
  </si>
  <si>
    <t>Entrada</t>
  </si>
  <si>
    <t>COD-2057</t>
  </si>
  <si>
    <t>Ana</t>
  </si>
  <si>
    <t>Completado</t>
  </si>
  <si>
    <t>MOV-05-001</t>
  </si>
  <si>
    <t>Producto B</t>
  </si>
  <si>
    <t>COD-1017</t>
  </si>
  <si>
    <t>Alan</t>
  </si>
  <si>
    <t>MOV-01-002</t>
  </si>
  <si>
    <t>COD-6365</t>
  </si>
  <si>
    <t>MOV-02-002</t>
  </si>
  <si>
    <t>COD-7391</t>
  </si>
  <si>
    <t>Compras</t>
  </si>
  <si>
    <t>MOV-03-002</t>
  </si>
  <si>
    <t>COD-5753</t>
  </si>
  <si>
    <t>Sucursal Norte</t>
  </si>
  <si>
    <t>MOV-04-002</t>
  </si>
  <si>
    <t>COD-5052</t>
  </si>
  <si>
    <t>MOV-05-002</t>
  </si>
  <si>
    <t>COD-4148</t>
  </si>
  <si>
    <t>Daniela</t>
  </si>
  <si>
    <t>MOV-01-003</t>
  </si>
  <si>
    <t>COD-1160</t>
  </si>
  <si>
    <t>Juan</t>
  </si>
  <si>
    <t>MOV-02-003</t>
  </si>
  <si>
    <t>COD-7392</t>
  </si>
  <si>
    <t>MOV-03-003</t>
  </si>
  <si>
    <t>COD-1385</t>
  </si>
  <si>
    <t>MOV-04-003</t>
  </si>
  <si>
    <t>COD-2360</t>
  </si>
  <si>
    <t>MOV-05-003</t>
  </si>
  <si>
    <t>COD-7662</t>
  </si>
  <si>
    <t>Cristina</t>
  </si>
  <si>
    <t>MOV-01-004</t>
  </si>
  <si>
    <t>COD-3865</t>
  </si>
  <si>
    <t>MOV-02-004</t>
  </si>
  <si>
    <t>COD-8805</t>
  </si>
  <si>
    <t>MOV-03-004</t>
  </si>
  <si>
    <t>COD-6223</t>
  </si>
  <si>
    <t>Sofía</t>
  </si>
  <si>
    <t>MOV-04-004</t>
  </si>
  <si>
    <t>COD-5368</t>
  </si>
  <si>
    <t>MOV-05-004</t>
  </si>
  <si>
    <t>COD-8585</t>
  </si>
  <si>
    <t>Armando</t>
  </si>
  <si>
    <t>MOV-01-005</t>
  </si>
  <si>
    <t>COD-5400</t>
  </si>
  <si>
    <t>MOV-02-005</t>
  </si>
  <si>
    <t>COD-1621</t>
  </si>
  <si>
    <t>MOV-03-005</t>
  </si>
  <si>
    <t>COD-5639</t>
  </si>
  <si>
    <t>MOV-04-005</t>
  </si>
  <si>
    <t>COD-3316</t>
  </si>
  <si>
    <t>MOV-05-005</t>
  </si>
  <si>
    <t>COD-4819</t>
  </si>
  <si>
    <t>Paulina</t>
  </si>
  <si>
    <t>MOV-01-006</t>
  </si>
  <si>
    <t>COD-2586</t>
  </si>
  <si>
    <t>MOV-02-006</t>
  </si>
  <si>
    <t>COD-8955</t>
  </si>
  <si>
    <t>MOV-03-006</t>
  </si>
  <si>
    <t>COD-5118</t>
  </si>
  <si>
    <t>MOV-04-006</t>
  </si>
  <si>
    <t>COD-7506</t>
  </si>
  <si>
    <t>MOV-05-006</t>
  </si>
  <si>
    <t>COD-4085</t>
  </si>
  <si>
    <t>MOV-01-007</t>
  </si>
  <si>
    <t>COD-3227</t>
  </si>
  <si>
    <t>MOV-02-007</t>
  </si>
  <si>
    <t>COD-1501</t>
  </si>
  <si>
    <t>MOV-03-007</t>
  </si>
  <si>
    <t>COD-3553</t>
  </si>
  <si>
    <t>MOV-04-007</t>
  </si>
  <si>
    <t>COD-4751</t>
  </si>
  <si>
    <t>MOV-05-007</t>
  </si>
  <si>
    <t>COD-3860</t>
  </si>
  <si>
    <t>MOV-01-008</t>
  </si>
  <si>
    <t>COD-7941</t>
  </si>
  <si>
    <t>MOV-02-008</t>
  </si>
  <si>
    <t>COD-3403</t>
  </si>
  <si>
    <t>MOV-03-008</t>
  </si>
  <si>
    <t>COD-8129</t>
  </si>
  <si>
    <t>MOV-04-008</t>
  </si>
  <si>
    <t>COD-4882</t>
  </si>
  <si>
    <t>MOV-05-008</t>
  </si>
  <si>
    <t>COD-1098</t>
  </si>
  <si>
    <t>MOV-01-009</t>
  </si>
  <si>
    <t>COD-4340</t>
  </si>
  <si>
    <t>MOV-02-009</t>
  </si>
  <si>
    <t>COD-8745</t>
  </si>
  <si>
    <t>MOV-03-009</t>
  </si>
  <si>
    <t>COD-5617</t>
  </si>
  <si>
    <t>MOV-04-009</t>
  </si>
  <si>
    <t>COD-2440</t>
  </si>
  <si>
    <t>MOV-05-009</t>
  </si>
  <si>
    <t>COD-2952</t>
  </si>
  <si>
    <t>MOV-01-010</t>
  </si>
  <si>
    <t>COD-6880</t>
  </si>
  <si>
    <t>MOV-02-010</t>
  </si>
  <si>
    <t>COD-5357</t>
  </si>
  <si>
    <t>MOV-03-010</t>
  </si>
  <si>
    <t>COD-2739</t>
  </si>
  <si>
    <t>MOV-04-010</t>
  </si>
  <si>
    <t>COD-7589</t>
  </si>
  <si>
    <t>MOV-05-010</t>
  </si>
  <si>
    <t>COD-8750</t>
  </si>
  <si>
    <t>MOV-01-011</t>
  </si>
  <si>
    <t>COD-1375</t>
  </si>
  <si>
    <t>MOV-02-011</t>
  </si>
  <si>
    <t>COD-1813</t>
  </si>
  <si>
    <t>MOV-03-011</t>
  </si>
  <si>
    <t>COD-5508</t>
  </si>
  <si>
    <t>MOV-04-011</t>
  </si>
  <si>
    <t>COD-3650</t>
  </si>
  <si>
    <t>MOV-05-011</t>
  </si>
  <si>
    <t>COD-2042</t>
  </si>
  <si>
    <t>MOV-01-012</t>
  </si>
  <si>
    <t>COD-4140</t>
  </si>
  <si>
    <t>MOV-02-012</t>
  </si>
  <si>
    <t>COD-1331</t>
  </si>
  <si>
    <t>MOV-03-012</t>
  </si>
  <si>
    <t>COD-2518</t>
  </si>
  <si>
    <t>MOV-04-012</t>
  </si>
  <si>
    <t>COD-6472</t>
  </si>
  <si>
    <t>MOV-05-012</t>
  </si>
  <si>
    <t>COD-9487</t>
  </si>
  <si>
    <t>MOV-01-013</t>
  </si>
  <si>
    <t>COD-3034</t>
  </si>
  <si>
    <t>MOV-02-013</t>
  </si>
  <si>
    <t>COD-7424</t>
  </si>
  <si>
    <t>MOV-03-013</t>
  </si>
  <si>
    <t>COD-2256</t>
  </si>
  <si>
    <t>MOV-04-013</t>
  </si>
  <si>
    <t>COD-7516</t>
  </si>
  <si>
    <t>MOV-05-013</t>
  </si>
  <si>
    <t>COD-6715</t>
  </si>
  <si>
    <t>MOV-01-014</t>
  </si>
  <si>
    <t>COD-8684</t>
  </si>
  <si>
    <t>MOV-02-014</t>
  </si>
  <si>
    <t>COD-2409</t>
  </si>
  <si>
    <t>MOV-03-014</t>
  </si>
  <si>
    <t>COD-9913</t>
  </si>
  <si>
    <t>MOV-04-014</t>
  </si>
  <si>
    <t>COD-1847</t>
  </si>
  <si>
    <t>MOV-05-014</t>
  </si>
  <si>
    <t>COD-2458</t>
  </si>
  <si>
    <t>MOV-01-015</t>
  </si>
  <si>
    <t>COD-3642</t>
  </si>
  <si>
    <t>MOV-02-015</t>
  </si>
  <si>
    <t>COD-5502</t>
  </si>
  <si>
    <t>MOV-03-015</t>
  </si>
  <si>
    <t>COD-3349</t>
  </si>
  <si>
    <t>MOV-04-015</t>
  </si>
  <si>
    <t>COD-3745</t>
  </si>
  <si>
    <t>MOV-05-015</t>
  </si>
  <si>
    <t>COD-9424</t>
  </si>
  <si>
    <t>MOV-01-016</t>
  </si>
  <si>
    <t>COD-2933</t>
  </si>
  <si>
    <t>MOV-02-016</t>
  </si>
  <si>
    <t>COD-1776</t>
  </si>
  <si>
    <t>MOV-03-016</t>
  </si>
  <si>
    <t>COD-2065</t>
  </si>
  <si>
    <t>MOV-04-016</t>
  </si>
  <si>
    <t>COD-5707</t>
  </si>
  <si>
    <t>MOV-05-016</t>
  </si>
  <si>
    <t>COD-6729</t>
  </si>
  <si>
    <t>MOV-01-017</t>
  </si>
  <si>
    <t>COD-1464</t>
  </si>
  <si>
    <t>MOV-02-017</t>
  </si>
  <si>
    <t>COD-4886</t>
  </si>
  <si>
    <t>MOV-03-017</t>
  </si>
  <si>
    <t>COD-8873</t>
  </si>
  <si>
    <t>MOV-04-017</t>
  </si>
  <si>
    <t>COD-9282</t>
  </si>
  <si>
    <t>MOV-05-017</t>
  </si>
  <si>
    <t>COD-4218</t>
  </si>
  <si>
    <t>MOV-01-018</t>
  </si>
  <si>
    <t>COD-8825</t>
  </si>
  <si>
    <t>MOV-02-018</t>
  </si>
  <si>
    <t>COD-8863</t>
  </si>
  <si>
    <t>MOV-03-018</t>
  </si>
  <si>
    <t>COD-1305</t>
  </si>
  <si>
    <t>MOV-04-018</t>
  </si>
  <si>
    <t>COD-7581</t>
  </si>
  <si>
    <t>MOV-05-018</t>
  </si>
  <si>
    <t>COD-5986</t>
  </si>
  <si>
    <t>MOV-01-019</t>
  </si>
  <si>
    <t>COD-5369</t>
  </si>
  <si>
    <t>MOV-02-019</t>
  </si>
  <si>
    <t>COD-2319</t>
  </si>
  <si>
    <t>MOV-03-019</t>
  </si>
  <si>
    <t>COD-5232</t>
  </si>
  <si>
    <t>MOV-04-019</t>
  </si>
  <si>
    <t>COD-7645</t>
  </si>
  <si>
    <t>MOV-05-019</t>
  </si>
  <si>
    <t>COD-2124</t>
  </si>
  <si>
    <t>MOV-01-020</t>
  </si>
  <si>
    <t>COD-1068</t>
  </si>
  <si>
    <t>MOV-02-020</t>
  </si>
  <si>
    <t>COD-4439</t>
  </si>
  <si>
    <t>MOV-03-020</t>
  </si>
  <si>
    <t>COD-8769</t>
  </si>
  <si>
    <t>MOV-04-020</t>
  </si>
  <si>
    <t>COD-9910</t>
  </si>
  <si>
    <t>MOV-05-020</t>
  </si>
  <si>
    <t>COD-8090</t>
  </si>
  <si>
    <t>MOV-01-021</t>
  </si>
  <si>
    <t>COD-5372</t>
  </si>
  <si>
    <t>MOV-02-021</t>
  </si>
  <si>
    <t>COD-1083</t>
  </si>
  <si>
    <t>MOV-03-021</t>
  </si>
  <si>
    <t>COD-9329</t>
  </si>
  <si>
    <t>MOV-04-021</t>
  </si>
  <si>
    <t>COD-8865</t>
  </si>
  <si>
    <t>MOV-05-021</t>
  </si>
  <si>
    <t>COD-5679</t>
  </si>
  <si>
    <t>MOV-01-022</t>
  </si>
  <si>
    <t>COD-1838</t>
  </si>
  <si>
    <t>MOV-02-022</t>
  </si>
  <si>
    <t>COD-1067</t>
  </si>
  <si>
    <t>MOV-03-022</t>
  </si>
  <si>
    <t>COD-2921</t>
  </si>
  <si>
    <t>MOV-04-022</t>
  </si>
  <si>
    <t>COD-5552</t>
  </si>
  <si>
    <t>MOV-05-022</t>
  </si>
  <si>
    <t>COD-1533</t>
  </si>
  <si>
    <t>MOV-01-023</t>
  </si>
  <si>
    <t>COD-1194</t>
  </si>
  <si>
    <t>MOV-02-023</t>
  </si>
  <si>
    <t>COD-5945</t>
  </si>
  <si>
    <t>MOV-03-023</t>
  </si>
  <si>
    <t>COD-4167</t>
  </si>
  <si>
    <t>MOV-04-023</t>
  </si>
  <si>
    <t>COD-9219</t>
  </si>
  <si>
    <t>MOV-05-023</t>
  </si>
  <si>
    <t>COD-1328</t>
  </si>
  <si>
    <t>MOV-01-024</t>
  </si>
  <si>
    <t>COD-9370</t>
  </si>
  <si>
    <t>MOV-02-024</t>
  </si>
  <si>
    <t>COD-3385</t>
  </si>
  <si>
    <t>MOV-03-024</t>
  </si>
  <si>
    <t>COD-6770</t>
  </si>
  <si>
    <t>MOV-04-024</t>
  </si>
  <si>
    <t>COD-1634</t>
  </si>
  <si>
    <t>MOV-05-024</t>
  </si>
  <si>
    <t>COD-9058</t>
  </si>
  <si>
    <t>MOV-01-025</t>
  </si>
  <si>
    <t>COD-4260</t>
  </si>
  <si>
    <t>MOV-02-025</t>
  </si>
  <si>
    <t>COD-8969</t>
  </si>
  <si>
    <t>MOV-03-025</t>
  </si>
  <si>
    <t>COD-5925</t>
  </si>
  <si>
    <t>MOV-04-025</t>
  </si>
  <si>
    <t>COD-8042</t>
  </si>
  <si>
    <t>MOV-05-025</t>
  </si>
  <si>
    <t>COD-4369</t>
  </si>
  <si>
    <t>MOV-01-026</t>
  </si>
  <si>
    <t>COD-2276</t>
  </si>
  <si>
    <t>MOV-02-026</t>
  </si>
  <si>
    <t>COD-3116</t>
  </si>
  <si>
    <t>MOV-03-026</t>
  </si>
  <si>
    <t>COD-7855</t>
  </si>
  <si>
    <t>MOV-04-026</t>
  </si>
  <si>
    <t>COD-1073</t>
  </si>
  <si>
    <t>MOV-05-026</t>
  </si>
  <si>
    <t>COD-3445</t>
  </si>
  <si>
    <t>MOV-01-027</t>
  </si>
  <si>
    <t>COD-7721</t>
  </si>
  <si>
    <t>MOV-02-027</t>
  </si>
  <si>
    <t>COD-8303</t>
  </si>
  <si>
    <t>MOV-03-027</t>
  </si>
  <si>
    <t>COD-2287</t>
  </si>
  <si>
    <t>MOV-04-027</t>
  </si>
  <si>
    <t>MOV-05-027</t>
  </si>
  <si>
    <t>COD-3619</t>
  </si>
  <si>
    <t>MOV-01-028</t>
  </si>
  <si>
    <t>COD-4760</t>
  </si>
  <si>
    <t>MOV-02-028</t>
  </si>
  <si>
    <t>COD-8037</t>
  </si>
  <si>
    <t>MOV-03-028</t>
  </si>
  <si>
    <t>COD-7270</t>
  </si>
  <si>
    <t>MOV-04-028</t>
  </si>
  <si>
    <t>COD-5881</t>
  </si>
  <si>
    <t>MOV-05-028</t>
  </si>
  <si>
    <t>COD-1927</t>
  </si>
  <si>
    <t>MOV-01-029</t>
  </si>
  <si>
    <t>COD-2818</t>
  </si>
  <si>
    <t>MOV-02-029</t>
  </si>
  <si>
    <t>COD-7239</t>
  </si>
  <si>
    <t>MOV-03-029</t>
  </si>
  <si>
    <t>COD-4900</t>
  </si>
  <si>
    <t>MOV-04-029</t>
  </si>
  <si>
    <t>COD-5977</t>
  </si>
  <si>
    <t>MOV-05-029</t>
  </si>
  <si>
    <t>COD-9808</t>
  </si>
  <si>
    <t>MOV-01-030</t>
  </si>
  <si>
    <t>COD-4562</t>
  </si>
  <si>
    <t>MOV-02-030</t>
  </si>
  <si>
    <t>COD-2655</t>
  </si>
  <si>
    <t>MOV-03-030</t>
  </si>
  <si>
    <t>COD-9271</t>
  </si>
  <si>
    <t>MOV-04-030</t>
  </si>
  <si>
    <t>COD-1790</t>
  </si>
  <si>
    <t>MOV-05-030</t>
  </si>
  <si>
    <t>COD-8516</t>
  </si>
  <si>
    <t>fase</t>
  </si>
  <si>
    <t>Fecha Movimiento</t>
  </si>
  <si>
    <t>Jefe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</si>
</sst>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48"/>
      <color theme="1"/>
      <name val="IBM Plex Sans"/>
      <family val="2"/>
    </font>
    <font>
      <sz val="20"/>
      <color rgb="FFFFFFFF"/>
      <name val="IBM Plex Sans"/>
      <family val="2"/>
    </font>
    <font>
      <sz val="14"/>
      <color theme="0"/>
      <name val="IBM Plex Sans"/>
      <family val="2"/>
    </font>
    <font>
      <sz val="22"/>
      <color theme="1"/>
      <name val="IBM Plex Sans"/>
      <family val="2"/>
    </font>
    <font>
      <sz val="11"/>
      <color theme="1"/>
      <name val="IBM Plex Sans"/>
      <family val="2"/>
    </font>
    <font>
      <b/>
      <sz val="11"/>
      <color theme="1"/>
      <name val="IBM Plex Sans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6"/>
      <color theme="1"/>
      <name val="IBM Plex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0BF49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164" fontId="6" fillId="0" borderId="0" xfId="0" applyNumberFormat="1" applyFont="1"/>
    <xf numFmtId="0" fontId="6" fillId="0" borderId="0" xfId="0" applyFont="1" applyAlignment="1">
      <alignment horizontal="left"/>
    </xf>
    <xf numFmtId="0" fontId="10" fillId="0" borderId="0" xfId="0" applyFont="1"/>
    <xf numFmtId="0" fontId="9" fillId="0" borderId="3" xfId="0" applyFont="1" applyBorder="1"/>
    <xf numFmtId="0" fontId="9" fillId="0" borderId="5" xfId="0" applyFont="1" applyBorder="1"/>
    <xf numFmtId="0" fontId="7" fillId="2" borderId="2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0" borderId="1" xfId="0" applyFont="1" applyFill="1" applyBorder="1"/>
    <xf numFmtId="0" fontId="7" fillId="0" borderId="1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7" fillId="3" borderId="6" xfId="0" applyFont="1" applyFill="1" applyBorder="1"/>
    <xf numFmtId="0" fontId="6" fillId="0" borderId="6" xfId="0" applyFont="1" applyBorder="1"/>
    <xf numFmtId="14" fontId="6" fillId="0" borderId="6" xfId="0" applyNumberFormat="1" applyFont="1" applyBorder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0BF491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828675</xdr:colOff>
      <xdr:row>0</xdr:row>
      <xdr:rowOff>171450</xdr:rowOff>
    </xdr:from>
    <xdr:ext cx="596265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Organización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6640625" defaultRowHeight="15" customHeight="1" x14ac:dyDescent="0.3"/>
  <cols>
    <col min="1" max="6" width="11.44140625" customWidth="1"/>
    <col min="7" max="26" width="10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1.2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1.2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55000000000000004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6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5"/>
  <sheetViews>
    <sheetView topLeftCell="F4" zoomScale="102" zoomScaleNormal="102" workbookViewId="0">
      <selection activeCell="Q17" sqref="Q17"/>
    </sheetView>
  </sheetViews>
  <sheetFormatPr baseColWidth="10" defaultColWidth="12.6640625" defaultRowHeight="15" customHeight="1" x14ac:dyDescent="0.3"/>
  <cols>
    <col min="1" max="1" width="11.44140625" customWidth="1"/>
    <col min="2" max="2" width="13.6640625" customWidth="1"/>
    <col min="3" max="3" width="35.6640625" customWidth="1"/>
    <col min="4" max="5" width="16.109375" customWidth="1"/>
    <col min="6" max="7" width="11.44140625" customWidth="1"/>
    <col min="8" max="8" width="28.44140625" customWidth="1"/>
    <col min="9" max="10" width="10.6640625" customWidth="1"/>
    <col min="11" max="11" width="10.5546875" bestFit="1" customWidth="1"/>
    <col min="12" max="12" width="10.5546875" customWidth="1"/>
    <col min="13" max="13" width="35.6640625" bestFit="1" customWidth="1"/>
    <col min="14" max="15" width="13.33203125" bestFit="1" customWidth="1"/>
    <col min="16" max="27" width="10.6640625" customWidth="1"/>
  </cols>
  <sheetData>
    <row r="1" spans="1:27" ht="14.2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4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4.2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4.2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4.2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4.2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4.2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4.25" customHeight="1" x14ac:dyDescent="0.3">
      <c r="A8" s="6"/>
      <c r="B8" s="7" t="s">
        <v>5</v>
      </c>
      <c r="C8" s="7" t="s">
        <v>6</v>
      </c>
      <c r="D8" s="7" t="s">
        <v>7</v>
      </c>
      <c r="E8" s="7" t="s">
        <v>8</v>
      </c>
      <c r="F8" s="6"/>
      <c r="G8" s="7">
        <v>1</v>
      </c>
      <c r="H8" s="8" t="s">
        <v>9</v>
      </c>
      <c r="I8" s="6"/>
      <c r="J8" s="6"/>
      <c r="K8" s="7" t="s">
        <v>5</v>
      </c>
      <c r="L8" s="7" t="s">
        <v>377</v>
      </c>
      <c r="M8" s="7" t="s">
        <v>6</v>
      </c>
      <c r="N8" s="7" t="s">
        <v>7</v>
      </c>
      <c r="O8" s="7" t="s">
        <v>8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4.25" customHeight="1" x14ac:dyDescent="0.3">
      <c r="A9" s="6"/>
      <c r="B9" s="12"/>
      <c r="C9" s="6" t="s">
        <v>11</v>
      </c>
      <c r="D9" s="9">
        <v>92091</v>
      </c>
      <c r="E9" s="9">
        <v>94271</v>
      </c>
      <c r="F9" s="6"/>
      <c r="G9" s="7">
        <v>3</v>
      </c>
      <c r="H9" s="8" t="s">
        <v>12</v>
      </c>
      <c r="I9" s="6"/>
      <c r="J9" s="6"/>
      <c r="K9" s="14" t="s">
        <v>10</v>
      </c>
      <c r="L9" s="16">
        <v>1</v>
      </c>
      <c r="M9" s="6" t="s">
        <v>11</v>
      </c>
      <c r="N9" s="9">
        <v>92091</v>
      </c>
      <c r="O9" s="9">
        <v>94271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4.25" customHeight="1" x14ac:dyDescent="0.3">
      <c r="A10" s="6"/>
      <c r="B10" s="12"/>
      <c r="C10" s="6" t="s">
        <v>13</v>
      </c>
      <c r="D10" s="9">
        <v>33738</v>
      </c>
      <c r="E10" s="9">
        <v>37820</v>
      </c>
      <c r="F10" s="6"/>
      <c r="G10" s="7">
        <v>4</v>
      </c>
      <c r="H10" s="8" t="s">
        <v>14</v>
      </c>
      <c r="I10" s="6"/>
      <c r="J10" s="6"/>
      <c r="K10" s="14" t="s">
        <v>10</v>
      </c>
      <c r="L10" s="16">
        <v>1</v>
      </c>
      <c r="M10" s="6" t="s">
        <v>13</v>
      </c>
      <c r="N10" s="9">
        <v>33738</v>
      </c>
      <c r="O10" s="9">
        <v>37820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4.25" customHeight="1" x14ac:dyDescent="0.3">
      <c r="A11" s="6"/>
      <c r="B11" s="12"/>
      <c r="C11" s="6" t="s">
        <v>15</v>
      </c>
      <c r="D11" s="9">
        <v>26146</v>
      </c>
      <c r="E11" s="9">
        <v>26658</v>
      </c>
      <c r="F11" s="6"/>
      <c r="G11" s="7">
        <v>5</v>
      </c>
      <c r="H11" s="8" t="s">
        <v>16</v>
      </c>
      <c r="I11" s="6"/>
      <c r="J11" s="6"/>
      <c r="K11" s="14" t="s">
        <v>10</v>
      </c>
      <c r="L11" s="16">
        <v>1</v>
      </c>
      <c r="M11" s="6" t="s">
        <v>15</v>
      </c>
      <c r="N11" s="9">
        <v>26146</v>
      </c>
      <c r="O11" s="9">
        <v>26658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4.25" customHeight="1" x14ac:dyDescent="0.3">
      <c r="A12" s="6"/>
      <c r="B12" s="12"/>
      <c r="C12" s="6" t="s">
        <v>17</v>
      </c>
      <c r="D12" s="9">
        <v>43926</v>
      </c>
      <c r="E12" s="9">
        <v>58926</v>
      </c>
      <c r="F12" s="6"/>
      <c r="G12" s="6"/>
      <c r="H12" s="6"/>
      <c r="I12" s="6"/>
      <c r="J12" s="6"/>
      <c r="K12" s="14" t="s">
        <v>10</v>
      </c>
      <c r="L12" s="16">
        <v>2</v>
      </c>
      <c r="M12" s="6" t="s">
        <v>17</v>
      </c>
      <c r="N12" s="9">
        <v>43926</v>
      </c>
      <c r="O12" s="9">
        <v>58926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4.25" customHeight="1" x14ac:dyDescent="0.3">
      <c r="A13" s="6"/>
      <c r="B13" s="12"/>
      <c r="C13" s="10" t="s">
        <v>18</v>
      </c>
      <c r="D13" s="9">
        <v>22931</v>
      </c>
      <c r="E13" s="9">
        <v>37931</v>
      </c>
      <c r="F13" s="6"/>
      <c r="G13" s="6"/>
      <c r="H13" s="6"/>
      <c r="I13" s="6"/>
      <c r="J13" s="6"/>
      <c r="K13" s="14" t="s">
        <v>10</v>
      </c>
      <c r="L13" s="16">
        <v>2</v>
      </c>
      <c r="M13" s="10" t="s">
        <v>18</v>
      </c>
      <c r="N13" s="9">
        <v>22931</v>
      </c>
      <c r="O13" s="9">
        <v>37931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4.25" customHeight="1" x14ac:dyDescent="0.3">
      <c r="A14" s="6"/>
      <c r="B14" s="12"/>
      <c r="C14" s="6" t="s">
        <v>19</v>
      </c>
      <c r="D14" s="9">
        <v>63721</v>
      </c>
      <c r="E14" s="9">
        <v>78721</v>
      </c>
      <c r="F14" s="6"/>
      <c r="G14" s="6"/>
      <c r="H14" s="6"/>
      <c r="I14" s="6"/>
      <c r="J14" s="6"/>
      <c r="K14" s="14" t="s">
        <v>10</v>
      </c>
      <c r="L14" s="16">
        <v>2</v>
      </c>
      <c r="M14" s="6" t="s">
        <v>19</v>
      </c>
      <c r="N14" s="9">
        <v>63721</v>
      </c>
      <c r="O14" s="9">
        <v>78721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4.25" customHeight="1" x14ac:dyDescent="0.3">
      <c r="A15" s="6"/>
      <c r="B15" s="12"/>
      <c r="C15" s="6" t="s">
        <v>21</v>
      </c>
      <c r="D15" s="9">
        <v>68257</v>
      </c>
      <c r="E15" s="9">
        <v>83257</v>
      </c>
      <c r="F15" s="6"/>
      <c r="G15" s="6"/>
      <c r="H15" s="6"/>
      <c r="I15" s="6"/>
      <c r="J15" s="6"/>
      <c r="K15" s="15" t="s">
        <v>20</v>
      </c>
      <c r="L15" s="16">
        <v>1</v>
      </c>
      <c r="M15" s="6" t="s">
        <v>21</v>
      </c>
      <c r="N15" s="9">
        <v>68257</v>
      </c>
      <c r="O15" s="9">
        <v>83257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4.25" customHeight="1" x14ac:dyDescent="0.3">
      <c r="A16" s="6"/>
      <c r="B16" s="12"/>
      <c r="C16" s="6" t="s">
        <v>22</v>
      </c>
      <c r="D16" s="9">
        <v>20096</v>
      </c>
      <c r="E16" s="9">
        <v>35096</v>
      </c>
      <c r="F16" s="6"/>
      <c r="G16" s="6"/>
      <c r="H16" s="6"/>
      <c r="I16" s="6"/>
      <c r="J16" s="6"/>
      <c r="K16" s="15" t="s">
        <v>20</v>
      </c>
      <c r="L16" s="16">
        <v>1</v>
      </c>
      <c r="M16" s="6" t="s">
        <v>22</v>
      </c>
      <c r="N16" s="9">
        <v>20096</v>
      </c>
      <c r="O16" s="9">
        <v>35096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4.25" customHeight="1" x14ac:dyDescent="0.3">
      <c r="A17" s="6"/>
      <c r="B17" s="12"/>
      <c r="C17" s="6" t="s">
        <v>23</v>
      </c>
      <c r="D17" s="9">
        <v>27329</v>
      </c>
      <c r="E17" s="9">
        <v>42329</v>
      </c>
      <c r="F17" s="6"/>
      <c r="G17" s="6"/>
      <c r="H17" s="6"/>
      <c r="I17" s="6"/>
      <c r="J17" s="6"/>
      <c r="K17" s="15" t="s">
        <v>20</v>
      </c>
      <c r="L17" s="16">
        <v>1</v>
      </c>
      <c r="M17" s="6" t="s">
        <v>23</v>
      </c>
      <c r="N17" s="9">
        <v>27329</v>
      </c>
      <c r="O17" s="9">
        <v>42329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4.25" customHeight="1" x14ac:dyDescent="0.3">
      <c r="A18" s="6"/>
      <c r="B18" s="12"/>
      <c r="C18" s="10" t="s">
        <v>24</v>
      </c>
      <c r="D18" s="9">
        <v>42673</v>
      </c>
      <c r="E18" s="9">
        <v>57673</v>
      </c>
      <c r="F18" s="6"/>
      <c r="G18" s="6"/>
      <c r="H18" s="6"/>
      <c r="I18" s="6"/>
      <c r="J18" s="6"/>
      <c r="K18" s="15" t="s">
        <v>20</v>
      </c>
      <c r="L18" s="16">
        <v>2</v>
      </c>
      <c r="M18" s="10" t="s">
        <v>24</v>
      </c>
      <c r="N18" s="9">
        <v>42673</v>
      </c>
      <c r="O18" s="9">
        <v>57673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4.25" customHeight="1" x14ac:dyDescent="0.3">
      <c r="A19" s="6"/>
      <c r="B19" s="12"/>
      <c r="C19" s="10" t="s">
        <v>25</v>
      </c>
      <c r="D19" s="9">
        <v>83505</v>
      </c>
      <c r="E19" s="9">
        <v>98505</v>
      </c>
      <c r="F19" s="6"/>
      <c r="G19" s="6"/>
      <c r="H19" s="6"/>
      <c r="I19" s="6"/>
      <c r="J19" s="6"/>
      <c r="K19" s="15" t="s">
        <v>20</v>
      </c>
      <c r="L19" s="16">
        <v>2</v>
      </c>
      <c r="M19" s="10" t="s">
        <v>25</v>
      </c>
      <c r="N19" s="9">
        <v>83505</v>
      </c>
      <c r="O19" s="9">
        <v>98505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4.25" customHeight="1" x14ac:dyDescent="0.3">
      <c r="A20" s="6"/>
      <c r="B20" s="12"/>
      <c r="C20" s="10" t="s">
        <v>26</v>
      </c>
      <c r="D20" s="9">
        <v>52387</v>
      </c>
      <c r="E20" s="9">
        <v>67387</v>
      </c>
      <c r="F20" s="6"/>
      <c r="G20" s="6"/>
      <c r="H20" s="6"/>
      <c r="I20" s="6"/>
      <c r="J20" s="6"/>
      <c r="K20" s="15" t="s">
        <v>20</v>
      </c>
      <c r="L20" s="16">
        <v>2</v>
      </c>
      <c r="M20" s="10" t="s">
        <v>26</v>
      </c>
      <c r="N20" s="9">
        <v>52387</v>
      </c>
      <c r="O20" s="9">
        <v>67387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4.25" customHeight="1" x14ac:dyDescent="0.3">
      <c r="A21" s="6"/>
      <c r="B21" s="12"/>
      <c r="C21" s="6" t="s">
        <v>28</v>
      </c>
      <c r="D21" s="9">
        <v>90239</v>
      </c>
      <c r="E21" s="9">
        <v>105239</v>
      </c>
      <c r="F21" s="6"/>
      <c r="G21" s="6"/>
      <c r="H21" s="6"/>
      <c r="I21" s="6"/>
      <c r="J21" s="6"/>
      <c r="K21" s="15" t="s">
        <v>27</v>
      </c>
      <c r="L21" s="16">
        <v>1</v>
      </c>
      <c r="M21" s="6" t="s">
        <v>28</v>
      </c>
      <c r="N21" s="9">
        <v>90239</v>
      </c>
      <c r="O21" s="9">
        <v>105239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4.25" customHeight="1" x14ac:dyDescent="0.3">
      <c r="A22" s="6"/>
      <c r="B22" s="12"/>
      <c r="C22" s="6" t="s">
        <v>29</v>
      </c>
      <c r="D22" s="9">
        <v>93297</v>
      </c>
      <c r="E22" s="9">
        <v>108297</v>
      </c>
      <c r="F22" s="6"/>
      <c r="G22" s="6"/>
      <c r="H22" s="6"/>
      <c r="I22" s="6"/>
      <c r="J22" s="6"/>
      <c r="K22" s="15" t="s">
        <v>27</v>
      </c>
      <c r="L22" s="16">
        <v>1</v>
      </c>
      <c r="M22" s="6" t="s">
        <v>29</v>
      </c>
      <c r="N22" s="9">
        <v>93297</v>
      </c>
      <c r="O22" s="9">
        <v>108297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4.25" customHeight="1" x14ac:dyDescent="0.3">
      <c r="A23" s="6"/>
      <c r="B23" s="12"/>
      <c r="C23" s="6" t="s">
        <v>30</v>
      </c>
      <c r="D23" s="9">
        <v>69991</v>
      </c>
      <c r="E23" s="9">
        <v>84991</v>
      </c>
      <c r="F23" s="6"/>
      <c r="G23" s="6"/>
      <c r="H23" s="6"/>
      <c r="I23" s="6"/>
      <c r="J23" s="6"/>
      <c r="K23" s="15" t="s">
        <v>27</v>
      </c>
      <c r="L23" s="16">
        <v>1</v>
      </c>
      <c r="M23" s="6" t="s">
        <v>30</v>
      </c>
      <c r="N23" s="9">
        <v>69991</v>
      </c>
      <c r="O23" s="9">
        <v>84991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4.25" customHeight="1" x14ac:dyDescent="0.3">
      <c r="A24" s="6"/>
      <c r="B24" s="12"/>
      <c r="C24" s="6" t="s">
        <v>31</v>
      </c>
      <c r="D24" s="9">
        <v>27396</v>
      </c>
      <c r="E24" s="9">
        <v>42396</v>
      </c>
      <c r="F24" s="6"/>
      <c r="G24" s="6"/>
      <c r="H24" s="6"/>
      <c r="I24" s="6"/>
      <c r="J24" s="6"/>
      <c r="K24" s="15" t="s">
        <v>27</v>
      </c>
      <c r="L24" s="16">
        <v>2</v>
      </c>
      <c r="M24" s="6" t="s">
        <v>31</v>
      </c>
      <c r="N24" s="9">
        <v>27396</v>
      </c>
      <c r="O24" s="9">
        <v>42396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4.25" customHeight="1" x14ac:dyDescent="0.3">
      <c r="A25" s="6"/>
      <c r="B25" s="12"/>
      <c r="C25" s="6" t="s">
        <v>32</v>
      </c>
      <c r="D25" s="9">
        <v>35485</v>
      </c>
      <c r="E25" s="9">
        <v>50485</v>
      </c>
      <c r="F25" s="6"/>
      <c r="G25" s="6"/>
      <c r="H25" s="6"/>
      <c r="I25" s="6"/>
      <c r="J25" s="6"/>
      <c r="K25" s="15" t="s">
        <v>27</v>
      </c>
      <c r="L25" s="16">
        <v>2</v>
      </c>
      <c r="M25" s="6" t="s">
        <v>32</v>
      </c>
      <c r="N25" s="9">
        <v>35485</v>
      </c>
      <c r="O25" s="9">
        <v>50485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4.25" customHeight="1" x14ac:dyDescent="0.3">
      <c r="A26" s="6"/>
      <c r="B26" s="12"/>
      <c r="C26" s="6" t="s">
        <v>33</v>
      </c>
      <c r="D26" s="9">
        <v>50689</v>
      </c>
      <c r="E26" s="9">
        <v>65689</v>
      </c>
      <c r="F26" s="6"/>
      <c r="G26" s="6"/>
      <c r="H26" s="6"/>
      <c r="I26" s="6"/>
      <c r="J26" s="6"/>
      <c r="K26" s="15" t="s">
        <v>27</v>
      </c>
      <c r="L26" s="16">
        <v>2</v>
      </c>
      <c r="M26" s="6" t="s">
        <v>33</v>
      </c>
      <c r="N26" s="9">
        <v>50689</v>
      </c>
      <c r="O26" s="9">
        <v>65689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4.25" customHeight="1" x14ac:dyDescent="0.3">
      <c r="A27" s="6"/>
      <c r="B27" s="12"/>
      <c r="C27" s="6" t="s">
        <v>35</v>
      </c>
      <c r="D27" s="9">
        <v>66082</v>
      </c>
      <c r="E27" s="9">
        <v>81082</v>
      </c>
      <c r="F27" s="6"/>
      <c r="G27" s="6"/>
      <c r="H27" s="6"/>
      <c r="I27" s="6"/>
      <c r="J27" s="6"/>
      <c r="K27" s="15" t="s">
        <v>34</v>
      </c>
      <c r="L27" s="16">
        <v>1</v>
      </c>
      <c r="M27" s="6" t="s">
        <v>35</v>
      </c>
      <c r="N27" s="9">
        <v>66082</v>
      </c>
      <c r="O27" s="9">
        <v>81082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4.25" customHeight="1" x14ac:dyDescent="0.3">
      <c r="A28" s="6"/>
      <c r="B28" s="12"/>
      <c r="C28" s="6" t="s">
        <v>36</v>
      </c>
      <c r="D28" s="9">
        <v>39597</v>
      </c>
      <c r="E28" s="9">
        <v>54597</v>
      </c>
      <c r="F28" s="6"/>
      <c r="G28" s="6"/>
      <c r="H28" s="6"/>
      <c r="I28" s="6"/>
      <c r="J28" s="6"/>
      <c r="K28" s="15" t="s">
        <v>34</v>
      </c>
      <c r="L28" s="16">
        <v>1</v>
      </c>
      <c r="M28" s="6" t="s">
        <v>36</v>
      </c>
      <c r="N28" s="9">
        <v>39597</v>
      </c>
      <c r="O28" s="9">
        <v>54597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4.25" customHeight="1" x14ac:dyDescent="0.3">
      <c r="A29" s="6"/>
      <c r="B29" s="12"/>
      <c r="C29" s="6" t="s">
        <v>37</v>
      </c>
      <c r="D29" s="9">
        <v>80963</v>
      </c>
      <c r="E29" s="9">
        <v>95963</v>
      </c>
      <c r="F29" s="6"/>
      <c r="G29" s="6"/>
      <c r="H29" s="6"/>
      <c r="I29" s="6"/>
      <c r="J29" s="6"/>
      <c r="K29" s="15" t="s">
        <v>34</v>
      </c>
      <c r="L29" s="16">
        <v>1</v>
      </c>
      <c r="M29" s="6" t="s">
        <v>37</v>
      </c>
      <c r="N29" s="9">
        <v>80963</v>
      </c>
      <c r="O29" s="9">
        <v>95963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4.25" customHeight="1" x14ac:dyDescent="0.3">
      <c r="A30" s="6"/>
      <c r="B30" s="12"/>
      <c r="C30" s="6" t="s">
        <v>38</v>
      </c>
      <c r="D30" s="9">
        <v>87446</v>
      </c>
      <c r="E30" s="9">
        <v>102446</v>
      </c>
      <c r="F30" s="6"/>
      <c r="G30" s="6"/>
      <c r="H30" s="6"/>
      <c r="I30" s="6"/>
      <c r="J30" s="6"/>
      <c r="K30" s="15" t="s">
        <v>34</v>
      </c>
      <c r="L30" s="16">
        <v>2</v>
      </c>
      <c r="M30" s="6" t="s">
        <v>38</v>
      </c>
      <c r="N30" s="9">
        <v>87446</v>
      </c>
      <c r="O30" s="9">
        <v>102446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4.25" customHeight="1" x14ac:dyDescent="0.3">
      <c r="A31" s="6"/>
      <c r="B31" s="12"/>
      <c r="C31" s="6" t="s">
        <v>39</v>
      </c>
      <c r="D31" s="9">
        <v>20057</v>
      </c>
      <c r="E31" s="9">
        <v>35057</v>
      </c>
      <c r="F31" s="6"/>
      <c r="G31" s="6"/>
      <c r="H31" s="6"/>
      <c r="I31" s="6"/>
      <c r="J31" s="6"/>
      <c r="K31" s="15" t="s">
        <v>34</v>
      </c>
      <c r="L31" s="16">
        <v>2</v>
      </c>
      <c r="M31" s="6" t="s">
        <v>39</v>
      </c>
      <c r="N31" s="9">
        <v>20057</v>
      </c>
      <c r="O31" s="9">
        <v>35057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4.25" customHeight="1" x14ac:dyDescent="0.3">
      <c r="A32" s="6"/>
      <c r="B32" s="12"/>
      <c r="C32" s="6" t="s">
        <v>40</v>
      </c>
      <c r="D32" s="9">
        <v>33200</v>
      </c>
      <c r="E32" s="9">
        <v>48200</v>
      </c>
      <c r="F32" s="6"/>
      <c r="G32" s="6"/>
      <c r="H32" s="6"/>
      <c r="I32" s="6"/>
      <c r="J32" s="6"/>
      <c r="K32" s="15" t="s">
        <v>34</v>
      </c>
      <c r="L32" s="16">
        <v>2</v>
      </c>
      <c r="M32" s="6" t="s">
        <v>40</v>
      </c>
      <c r="N32" s="9">
        <v>33200</v>
      </c>
      <c r="O32" s="9">
        <v>48200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4.25" customHeight="1" x14ac:dyDescent="0.3">
      <c r="A33" s="6"/>
      <c r="B33" s="13"/>
      <c r="C33" s="6"/>
      <c r="D33" s="6"/>
      <c r="E33" s="6"/>
      <c r="F33" s="6"/>
      <c r="G33" s="6"/>
      <c r="H33" s="6"/>
      <c r="I33" s="6"/>
      <c r="J33" s="6"/>
      <c r="K33" s="15" t="s">
        <v>34</v>
      </c>
      <c r="L33" s="16">
        <v>2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4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4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4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4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4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4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4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4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4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4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4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4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4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4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4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4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4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4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4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4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4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4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4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4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4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4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4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4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4.2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4.2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4.2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4.2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4.2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4.2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4.2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4.2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4.2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4.2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4.2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4.2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4.2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4.2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4.2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4.2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4.2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4.2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4.2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4.2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4.2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4.2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4.2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4.2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4.2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4.2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4.2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4.2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4.2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4.2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4.2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4.2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4.2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4.2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4.2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4.2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4.2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4.2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4.2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4.2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4.2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4.2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4.2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4.2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4.2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4.2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4.2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4.2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4.2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4.2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4.2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4.2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4.2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4.2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4.2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4.2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4.2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4.2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4.2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4.2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4.2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4.2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4.2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4.2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4.2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4.2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4.2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4.2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4.2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4.2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4.2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4.2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4.2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4.2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4.2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4.2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4.2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4.2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4.2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4.2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4.2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4.2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4.2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4.2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4.2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4.2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4.2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4.2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4.2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4.2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4.2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4.2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4.2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4.2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4.2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4.2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4.2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4.2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4.2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4.2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4.2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4.2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4.2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4.2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4.2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4.2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4.2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4.2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4.2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4.2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4.2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4.2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4.2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4.2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4.2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4.2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4.2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4.2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4.2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4.2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4.2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4.2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4.2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4.2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4.2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4.2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4.2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4.2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4.2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4.2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4.2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4.2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4.2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4.2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4.2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4.2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4.2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4.2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4.2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4.2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4.2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4.2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4.2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4.2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4.2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4.2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4.2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4.2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4.2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4.2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4.2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4.2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4.2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4.2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4.2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4.2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4.2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4.2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4.2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4.2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4.2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4.2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4.2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4.2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4.2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4.2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4.2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4.2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4.2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4.2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4.2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4.2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4.2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4.2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4.2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4.2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4.2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4.2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4.2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4.2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4.2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4.2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4.2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4.2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4.2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4.2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4.2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4.2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4.2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4.2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4.2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4.2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4.2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4.2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4.2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4.2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4.2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4.2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4.2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4.2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4.2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4.2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4.2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4.2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4.2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4.2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4.2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4.2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4.2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4.2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4.2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4.2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4.2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4.2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4.2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4.2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4.2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4.2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4.2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4.2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4.2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4.2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4.2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4.2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4.2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4.2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4.2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4.2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4.2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4.2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4.2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4.2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4.2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4.2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4.2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4.2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4.2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4.2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4.2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4.2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4.2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4.2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4.2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4.2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4.2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4.2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4.2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4.2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4.2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4.2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4.2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4.2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4.2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4.2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4.2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4.2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4.2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4.2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4.2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4.2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4.2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4.2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4.2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4.2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4.2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4.2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4.2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4.2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4.2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4.2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4.2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4.2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4.2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4.2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4.2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4.2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4.2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4.2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4.2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4.2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4.2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4.2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4.2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4.2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4.2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4.2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4.2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4.2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4.2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4.2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4.2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4.2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4.2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4.2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4.2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4.2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4.2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4.2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4.2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4.2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4.2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4.2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4.2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4.2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4.2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4.2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4.2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4.2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4.2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4.2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4.2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4.2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4.2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4.2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4.2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4.2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4.2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4.2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4.2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4.2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4.2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4.2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4.2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4.2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4.2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4.2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4.2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4.2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4.2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4.2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4.2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4.2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4.2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4.2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4.2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4.2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4.2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4.2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4.2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4.2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4.2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4.2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4.2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4.2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4.2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4.2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4.2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4.2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4.2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4.2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4.2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4.2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4.2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4.2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4.2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4.2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4.2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4.2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4.2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4.2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4.2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4.2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4.2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4.2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4.2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4.2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4.2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4.2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4.2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4.2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4.2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4.2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4.2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4.2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4.2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4.2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4.2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4.2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4.2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4.2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4.2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4.2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4.2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4.2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4.2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4.2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4.2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4.2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4.2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4.2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4.2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4.2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4.2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4.2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4.2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4.2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4.2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4.2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4.2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4.2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4.2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4.2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4.2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4.2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4.2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4.2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4.2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4.2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4.2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4.2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4.2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4.2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4.2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4.2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4.2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4.2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4.2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4.2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4.2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4.2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4.2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4.2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4.2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4.2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4.2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4.2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4.2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4.2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4.2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4.2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4.2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4.2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4.2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4.2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4.2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4.2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4.2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4.2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4.2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4.2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4.2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4.2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4.2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4.2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4.2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4.2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4.2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4.2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4.2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4.2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4.2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4.2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4.2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4.2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4.2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4.2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4.2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4.2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4.2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4.2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4.2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4.2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4.2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4.2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4.2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4.2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4.2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4.2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4.2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4.2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4.2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4.2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4.2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4.2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4.2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4.2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4.2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4.2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4.2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4.2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4.2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4.2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4.2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4.2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4.2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4.2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4.2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4.2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4.2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4.2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4.2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4.2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4.2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4.2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4.2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4.2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4.2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4.2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4.2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4.2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4.2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4.2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4.2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4.2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4.2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4.2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4.2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4.2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4.2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4.2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4.2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4.2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4.2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4.2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4.2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4.2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4.2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4.2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4.2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4.2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4.2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4.2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4.2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4.2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4.2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4.2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4.2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4.2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4.2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4.2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4.2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4.2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4.2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4.2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4.2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4.2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4.2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4.2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4.2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4.2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4.2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4.2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4.2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4.2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4.2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4.2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4.2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4.2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4.2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4.2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4.2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4.2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4.2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4.2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4.2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4.2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4.2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4.2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4.2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4.2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4.2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4.2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4.2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4.2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4.2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4.2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4.2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4.2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4.2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4.2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4.2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4.2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4.2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4.2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4.2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4.2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4.2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4.2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4.2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4.2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4.2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4.2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4.2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4.2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4.2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4.2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4.2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4.2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4.2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4.2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4.2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4.2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4.2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4.2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4.2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4.2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4.2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4.2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4.2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4.2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4.2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4.2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4.2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4.2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4.2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4.2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4.2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4.2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4.2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4.2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4.2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4.2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4.2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4.2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4.2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4.2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4.2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4.2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4.2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4.2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4.2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4.2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4.2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4.2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4.2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4.2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4.2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4.2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4.2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4.2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4.2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4.2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4.2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4.2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4.2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4.2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4.2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4.2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4.2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4.2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4.2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4.2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4.2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4.2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4.2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4.2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4.2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4.2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4.2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4.2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4.2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4.2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4.2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4.2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4.2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4.2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4.2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4.2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4.2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4.2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4.2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4.2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4.2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4.2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4.2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4.2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4.2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4.2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4.2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4.2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4.2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4.2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4.2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4.2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4.2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4.2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4.2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4.2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4.2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4.2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4.2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4.2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4.2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4.2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4.2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4.2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4.2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4.2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4.2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4.2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4.2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4.2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4.2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4.2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4.2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4.2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4.2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4.2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4.2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4.2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4.2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4.2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4.2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4.2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4.2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4.2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4.2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4.2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4.2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4.2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4.2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4.2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4.2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4.2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4.2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4.2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4.2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4.2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4.2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4.2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4.2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4.2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4.2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4.2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4.2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4.2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4.2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4.2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4.2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4.2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4.2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4.2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4.2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4.2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4.2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4.2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4.2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4.2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4.2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4.2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4.2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4.2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4.2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4.2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4.2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4.2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4.2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4.2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4.2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4.2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4.2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4.2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4.2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4.2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4.2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4.2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4.2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4.2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4.2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4.2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4.2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4.2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4.2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4.2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4.2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4.2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4.2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4.2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4.2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4.2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4.2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4.2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4.2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4.2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4.2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4.2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4.2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4.2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4.2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4.2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4.2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4.2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4.2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4.2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4.2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4.2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4.2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4.2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4.2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4.2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4.2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4.2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4.2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4.2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4.2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4.2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4.2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4.2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4.2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4.2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4.2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4.2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4.2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4.2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4.2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4.2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4.2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4.2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4.2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4.2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4.2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4.2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4.2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4.2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4.2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4.2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4.2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4.2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4.2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4.2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4.2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4.2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4.2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4.2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4.2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4.2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4.2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4.2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4.2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4.2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4.2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4.2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4.2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4.2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4.2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4.2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4.2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4.2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4.2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4.2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4.2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4.2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4.2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4.2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4.2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4.2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4.2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4.2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4.2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4.2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4.2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4.2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4.2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4.2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4.2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4.2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4.2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4.2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4.2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4.2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4.2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4.2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4.2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4.2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4.2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4.2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4.2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4.2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4.2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4.2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4.2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4.2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4.2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4.2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4.2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4.2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4.2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4.2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4.2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4.2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4.2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4.2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4.2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4.2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4.2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4.2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4.2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4.2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4.2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4.2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4.2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4.2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4.2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4.2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4.2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4.2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4.2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4.2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4.2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4.2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4.2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4.2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4.2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4.2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4.2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4.2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4.2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4.2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4.2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4.2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4.2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4.2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4.2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4.2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4.2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4.2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4.2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4.2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4.2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4.2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4.2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4.2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4.2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4.2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</sheetData>
  <mergeCells count="4">
    <mergeCell ref="B9:B14"/>
    <mergeCell ref="B15:B20"/>
    <mergeCell ref="B21:B26"/>
    <mergeCell ref="B27:B3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F491"/>
  </sheetPr>
  <dimension ref="A1:BM167"/>
  <sheetViews>
    <sheetView tabSelected="1" zoomScale="70" zoomScaleNormal="70" workbookViewId="0">
      <selection activeCell="N129" sqref="N129"/>
    </sheetView>
  </sheetViews>
  <sheetFormatPr baseColWidth="10" defaultColWidth="12.6640625" defaultRowHeight="15" customHeight="1" x14ac:dyDescent="0.3"/>
  <cols>
    <col min="1" max="1" width="15.33203125" bestFit="1" customWidth="1"/>
    <col min="2" max="2" width="17.21875" bestFit="1" customWidth="1"/>
    <col min="3" max="3" width="11.5546875" bestFit="1" customWidth="1"/>
    <col min="4" max="4" width="16.88671875" bestFit="1" customWidth="1"/>
    <col min="5" max="5" width="9.77734375" bestFit="1" customWidth="1"/>
    <col min="6" max="6" width="15.5546875" bestFit="1" customWidth="1"/>
    <col min="7" max="7" width="10" bestFit="1" customWidth="1"/>
    <col min="8" max="8" width="13.5546875" bestFit="1" customWidth="1"/>
    <col min="9" max="9" width="15" bestFit="1" customWidth="1"/>
    <col min="10" max="10" width="19.6640625" bestFit="1" customWidth="1"/>
    <col min="11" max="11" width="14.88671875" bestFit="1" customWidth="1"/>
    <col min="12" max="12" width="19.77734375" bestFit="1" customWidth="1"/>
    <col min="13" max="13" width="19" bestFit="1" customWidth="1"/>
    <col min="14" max="23" width="8.88671875" customWidth="1"/>
    <col min="24" max="24" width="13.21875" customWidth="1"/>
    <col min="25" max="25" width="17.44140625" customWidth="1"/>
    <col min="26" max="48" width="8.88671875" customWidth="1"/>
    <col min="49" max="49" width="15" bestFit="1" customWidth="1"/>
    <col min="50" max="50" width="14.88671875" bestFit="1" customWidth="1"/>
    <col min="51" max="62" width="8.88671875" customWidth="1"/>
    <col min="63" max="63" width="14.88671875" customWidth="1"/>
    <col min="64" max="65" width="19.77734375" bestFit="1" customWidth="1"/>
  </cols>
  <sheetData>
    <row r="1" spans="1:65" ht="14.25" customHeight="1" x14ac:dyDescent="0.4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5" ht="14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</row>
    <row r="3" spans="1:65" ht="14.25" customHeight="1" x14ac:dyDescent="0.3">
      <c r="A3" s="19" t="s">
        <v>41</v>
      </c>
      <c r="B3" s="19" t="s">
        <v>42</v>
      </c>
      <c r="C3" s="19" t="s">
        <v>43</v>
      </c>
      <c r="D3" s="19" t="s">
        <v>44</v>
      </c>
      <c r="E3" s="19" t="s">
        <v>45</v>
      </c>
      <c r="F3" s="19" t="s">
        <v>46</v>
      </c>
      <c r="G3" s="19" t="s">
        <v>47</v>
      </c>
      <c r="H3" s="19" t="s">
        <v>48</v>
      </c>
      <c r="I3" s="19" t="s">
        <v>49</v>
      </c>
      <c r="J3" s="19" t="s">
        <v>379</v>
      </c>
      <c r="K3" s="19" t="s">
        <v>50</v>
      </c>
      <c r="L3" s="19" t="s">
        <v>51</v>
      </c>
      <c r="M3" s="20" t="s">
        <v>378</v>
      </c>
      <c r="N3" s="1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7"/>
      <c r="AA3" s="17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7"/>
      <c r="AN3" s="17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7"/>
      <c r="BA3" s="17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</row>
    <row r="4" spans="1:65" ht="14.25" customHeight="1" x14ac:dyDescent="0.3">
      <c r="A4" s="21" t="s">
        <v>52</v>
      </c>
      <c r="B4" s="21" t="s">
        <v>53</v>
      </c>
      <c r="C4" s="21" t="s">
        <v>54</v>
      </c>
      <c r="D4" s="21" t="s">
        <v>55</v>
      </c>
      <c r="E4" s="21">
        <v>9</v>
      </c>
      <c r="F4" s="21">
        <v>71.66</v>
      </c>
      <c r="G4" s="21">
        <v>644.93999999999994</v>
      </c>
      <c r="H4" s="21" t="s">
        <v>56</v>
      </c>
      <c r="I4" s="21" t="s">
        <v>57</v>
      </c>
      <c r="J4" s="21"/>
      <c r="K4" s="21" t="s">
        <v>27</v>
      </c>
      <c r="L4" s="21" t="s">
        <v>58</v>
      </c>
      <c r="M4" s="22">
        <f>DATE(2025,4,12)</f>
        <v>45759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spans="1:65" ht="14.25" customHeight="1" x14ac:dyDescent="0.3">
      <c r="A5" s="21" t="s">
        <v>80</v>
      </c>
      <c r="B5" s="21" t="s">
        <v>60</v>
      </c>
      <c r="C5" s="21" t="s">
        <v>61</v>
      </c>
      <c r="D5" s="21" t="s">
        <v>81</v>
      </c>
      <c r="E5" s="21">
        <v>77</v>
      </c>
      <c r="F5" s="21">
        <v>73.27</v>
      </c>
      <c r="G5" s="21">
        <v>5641.79</v>
      </c>
      <c r="H5" s="21" t="s">
        <v>56</v>
      </c>
      <c r="I5" s="21" t="s">
        <v>69</v>
      </c>
      <c r="J5" s="21"/>
      <c r="K5" s="21" t="s">
        <v>27</v>
      </c>
      <c r="L5" s="21" t="s">
        <v>58</v>
      </c>
      <c r="M5" s="22">
        <f t="shared" ref="M5:M33" si="0">DATE(2025,4,12)</f>
        <v>45759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5" ht="14.25" customHeight="1" x14ac:dyDescent="0.3">
      <c r="A6" s="21" t="s">
        <v>93</v>
      </c>
      <c r="B6" s="21" t="s">
        <v>53</v>
      </c>
      <c r="C6" s="21" t="s">
        <v>67</v>
      </c>
      <c r="D6" s="21" t="s">
        <v>94</v>
      </c>
      <c r="E6" s="21">
        <v>43</v>
      </c>
      <c r="F6" s="21">
        <v>52.69</v>
      </c>
      <c r="G6" s="21">
        <v>2265.67</v>
      </c>
      <c r="H6" s="21" t="s">
        <v>95</v>
      </c>
      <c r="I6" s="21" t="s">
        <v>64</v>
      </c>
      <c r="J6" s="21"/>
      <c r="K6" s="21" t="s">
        <v>34</v>
      </c>
      <c r="L6" s="21" t="s">
        <v>75</v>
      </c>
      <c r="M6" s="22">
        <f t="shared" si="0"/>
        <v>45759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</row>
    <row r="7" spans="1:65" ht="14.25" customHeight="1" x14ac:dyDescent="0.3">
      <c r="A7" s="21" t="s">
        <v>105</v>
      </c>
      <c r="B7" s="21" t="s">
        <v>60</v>
      </c>
      <c r="C7" s="21" t="s">
        <v>54</v>
      </c>
      <c r="D7" s="21" t="s">
        <v>106</v>
      </c>
      <c r="E7" s="21">
        <v>62</v>
      </c>
      <c r="F7" s="21">
        <v>35.58</v>
      </c>
      <c r="G7" s="21">
        <v>2205.96</v>
      </c>
      <c r="H7" s="21" t="s">
        <v>56</v>
      </c>
      <c r="I7" s="21" t="s">
        <v>64</v>
      </c>
      <c r="J7" s="21"/>
      <c r="K7" s="21" t="s">
        <v>65</v>
      </c>
      <c r="L7" s="21" t="s">
        <v>58</v>
      </c>
      <c r="M7" s="22">
        <f t="shared" si="0"/>
        <v>45759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</row>
    <row r="8" spans="1:65" ht="14.25" customHeight="1" x14ac:dyDescent="0.3">
      <c r="A8" s="21" t="s">
        <v>117</v>
      </c>
      <c r="B8" s="21" t="s">
        <v>60</v>
      </c>
      <c r="C8" s="21" t="s">
        <v>67</v>
      </c>
      <c r="D8" s="21" t="s">
        <v>118</v>
      </c>
      <c r="E8" s="21">
        <v>74</v>
      </c>
      <c r="F8" s="21">
        <v>47.55</v>
      </c>
      <c r="G8" s="21">
        <v>3518.7</v>
      </c>
      <c r="H8" s="21" t="s">
        <v>111</v>
      </c>
      <c r="I8" s="21" t="s">
        <v>69</v>
      </c>
      <c r="J8" s="21"/>
      <c r="K8" s="21" t="s">
        <v>34</v>
      </c>
      <c r="L8" s="21" t="s">
        <v>70</v>
      </c>
      <c r="M8" s="22">
        <f t="shared" si="0"/>
        <v>45759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</row>
    <row r="9" spans="1:65" ht="14.25" customHeight="1" x14ac:dyDescent="0.3">
      <c r="A9" s="21" t="s">
        <v>128</v>
      </c>
      <c r="B9" s="21" t="s">
        <v>53</v>
      </c>
      <c r="C9" s="21" t="s">
        <v>67</v>
      </c>
      <c r="D9" s="21" t="s">
        <v>129</v>
      </c>
      <c r="E9" s="21">
        <v>13</v>
      </c>
      <c r="F9" s="21">
        <v>98.41</v>
      </c>
      <c r="G9" s="21">
        <v>1279.33</v>
      </c>
      <c r="H9" s="21" t="s">
        <v>63</v>
      </c>
      <c r="I9" s="21" t="s">
        <v>57</v>
      </c>
      <c r="J9" s="21"/>
      <c r="K9" s="21" t="s">
        <v>34</v>
      </c>
      <c r="L9" s="21" t="s">
        <v>58</v>
      </c>
      <c r="M9" s="22">
        <f t="shared" si="0"/>
        <v>45759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</row>
    <row r="10" spans="1:65" ht="14.25" customHeight="1" x14ac:dyDescent="0.3">
      <c r="A10" s="21" t="s">
        <v>138</v>
      </c>
      <c r="B10" s="21" t="s">
        <v>53</v>
      </c>
      <c r="C10" s="21" t="s">
        <v>54</v>
      </c>
      <c r="D10" s="21" t="s">
        <v>139</v>
      </c>
      <c r="E10" s="21">
        <v>82</v>
      </c>
      <c r="F10" s="21">
        <v>50.03</v>
      </c>
      <c r="G10" s="21">
        <v>4102.46</v>
      </c>
      <c r="H10" s="21" t="s">
        <v>74</v>
      </c>
      <c r="I10" s="21" t="s">
        <v>57</v>
      </c>
      <c r="J10" s="21"/>
      <c r="K10" s="21" t="s">
        <v>27</v>
      </c>
      <c r="L10" s="21" t="s">
        <v>75</v>
      </c>
      <c r="M10" s="22">
        <f t="shared" si="0"/>
        <v>45759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</row>
    <row r="11" spans="1:65" ht="14.25" customHeight="1" x14ac:dyDescent="0.3">
      <c r="A11" s="21" t="s">
        <v>148</v>
      </c>
      <c r="B11" s="21" t="s">
        <v>72</v>
      </c>
      <c r="C11" s="21" t="s">
        <v>54</v>
      </c>
      <c r="D11" s="21" t="s">
        <v>149</v>
      </c>
      <c r="E11" s="21">
        <v>19</v>
      </c>
      <c r="F11" s="21">
        <v>19.52</v>
      </c>
      <c r="G11" s="21">
        <v>370.88</v>
      </c>
      <c r="H11" s="21" t="s">
        <v>56</v>
      </c>
      <c r="I11" s="21" t="s">
        <v>87</v>
      </c>
      <c r="J11" s="21"/>
      <c r="K11" s="21" t="s">
        <v>84</v>
      </c>
      <c r="L11" s="21" t="s">
        <v>75</v>
      </c>
      <c r="M11" s="22">
        <f t="shared" si="0"/>
        <v>45759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</row>
    <row r="12" spans="1:65" ht="14.25" customHeight="1" x14ac:dyDescent="0.3">
      <c r="A12" s="21" t="s">
        <v>158</v>
      </c>
      <c r="B12" s="21" t="s">
        <v>53</v>
      </c>
      <c r="C12" s="21" t="s">
        <v>77</v>
      </c>
      <c r="D12" s="21" t="s">
        <v>159</v>
      </c>
      <c r="E12" s="21">
        <v>94</v>
      </c>
      <c r="F12" s="21">
        <v>35.43</v>
      </c>
      <c r="G12" s="21">
        <v>3330.42</v>
      </c>
      <c r="H12" s="21" t="s">
        <v>63</v>
      </c>
      <c r="I12" s="21" t="s">
        <v>57</v>
      </c>
      <c r="J12" s="21"/>
      <c r="K12" s="21" t="s">
        <v>27</v>
      </c>
      <c r="L12" s="21" t="s">
        <v>58</v>
      </c>
      <c r="M12" s="22">
        <f t="shared" si="0"/>
        <v>45759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</row>
    <row r="13" spans="1:65" ht="14.25" customHeight="1" x14ac:dyDescent="0.3">
      <c r="A13" s="21" t="s">
        <v>168</v>
      </c>
      <c r="B13" s="21" t="s">
        <v>72</v>
      </c>
      <c r="C13" s="21" t="s">
        <v>67</v>
      </c>
      <c r="D13" s="21" t="s">
        <v>169</v>
      </c>
      <c r="E13" s="21">
        <v>48</v>
      </c>
      <c r="F13" s="21">
        <v>50.58</v>
      </c>
      <c r="G13" s="21">
        <v>2427.84</v>
      </c>
      <c r="H13" s="21" t="s">
        <v>63</v>
      </c>
      <c r="I13" s="21" t="s">
        <v>64</v>
      </c>
      <c r="J13" s="21"/>
      <c r="K13" s="21" t="s">
        <v>84</v>
      </c>
      <c r="L13" s="21" t="s">
        <v>70</v>
      </c>
      <c r="M13" s="22">
        <f t="shared" si="0"/>
        <v>45759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</row>
    <row r="14" spans="1:65" ht="14.25" customHeight="1" x14ac:dyDescent="0.3">
      <c r="A14" s="21" t="s">
        <v>178</v>
      </c>
      <c r="B14" s="21" t="s">
        <v>53</v>
      </c>
      <c r="C14" s="21" t="s">
        <v>61</v>
      </c>
      <c r="D14" s="21" t="s">
        <v>179</v>
      </c>
      <c r="E14" s="21">
        <v>66</v>
      </c>
      <c r="F14" s="21">
        <v>75.459999999999994</v>
      </c>
      <c r="G14" s="21">
        <v>4980.3599999999997</v>
      </c>
      <c r="H14" s="21" t="s">
        <v>74</v>
      </c>
      <c r="I14" s="21" t="s">
        <v>87</v>
      </c>
      <c r="J14" s="21"/>
      <c r="K14" s="21" t="s">
        <v>65</v>
      </c>
      <c r="L14" s="21" t="s">
        <v>58</v>
      </c>
      <c r="M14" s="22">
        <f t="shared" si="0"/>
        <v>45759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</row>
    <row r="15" spans="1:65" ht="14.25" customHeight="1" x14ac:dyDescent="0.3">
      <c r="A15" s="21" t="s">
        <v>188</v>
      </c>
      <c r="B15" s="21" t="s">
        <v>72</v>
      </c>
      <c r="C15" s="21" t="s">
        <v>77</v>
      </c>
      <c r="D15" s="21" t="s">
        <v>189</v>
      </c>
      <c r="E15" s="21">
        <v>96</v>
      </c>
      <c r="F15" s="21">
        <v>23.62</v>
      </c>
      <c r="G15" s="21">
        <v>2267.52</v>
      </c>
      <c r="H15" s="21" t="s">
        <v>56</v>
      </c>
      <c r="I15" s="21" t="s">
        <v>57</v>
      </c>
      <c r="J15" s="21"/>
      <c r="K15" s="21" t="s">
        <v>84</v>
      </c>
      <c r="L15" s="21" t="s">
        <v>70</v>
      </c>
      <c r="M15" s="22">
        <f t="shared" si="0"/>
        <v>45759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</row>
    <row r="16" spans="1:65" ht="14.25" customHeight="1" x14ac:dyDescent="0.3">
      <c r="A16" s="21" t="s">
        <v>198</v>
      </c>
      <c r="B16" s="21" t="s">
        <v>53</v>
      </c>
      <c r="C16" s="21" t="s">
        <v>54</v>
      </c>
      <c r="D16" s="21" t="s">
        <v>199</v>
      </c>
      <c r="E16" s="21">
        <v>65</v>
      </c>
      <c r="F16" s="21">
        <v>88.64</v>
      </c>
      <c r="G16" s="21">
        <v>5761.6</v>
      </c>
      <c r="H16" s="21" t="s">
        <v>63</v>
      </c>
      <c r="I16" s="21" t="s">
        <v>57</v>
      </c>
      <c r="J16" s="21"/>
      <c r="K16" s="21" t="s">
        <v>27</v>
      </c>
      <c r="L16" s="21" t="s">
        <v>70</v>
      </c>
      <c r="M16" s="22">
        <f t="shared" si="0"/>
        <v>45759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</row>
    <row r="17" spans="1:65" ht="14.25" customHeight="1" x14ac:dyDescent="0.3">
      <c r="A17" s="21" t="s">
        <v>208</v>
      </c>
      <c r="B17" s="21" t="s">
        <v>60</v>
      </c>
      <c r="C17" s="21" t="s">
        <v>67</v>
      </c>
      <c r="D17" s="21" t="s">
        <v>209</v>
      </c>
      <c r="E17" s="21">
        <v>17</v>
      </c>
      <c r="F17" s="21">
        <v>52.61</v>
      </c>
      <c r="G17" s="21">
        <v>894.37</v>
      </c>
      <c r="H17" s="21" t="s">
        <v>111</v>
      </c>
      <c r="I17" s="21" t="s">
        <v>69</v>
      </c>
      <c r="J17" s="21"/>
      <c r="K17" s="21" t="s">
        <v>65</v>
      </c>
      <c r="L17" s="21" t="s">
        <v>58</v>
      </c>
      <c r="M17" s="22">
        <f t="shared" si="0"/>
        <v>45759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</row>
    <row r="18" spans="1:65" ht="14.25" customHeight="1" x14ac:dyDescent="0.3">
      <c r="A18" s="21" t="s">
        <v>218</v>
      </c>
      <c r="B18" s="21" t="s">
        <v>72</v>
      </c>
      <c r="C18" s="21" t="s">
        <v>67</v>
      </c>
      <c r="D18" s="21" t="s">
        <v>219</v>
      </c>
      <c r="E18" s="21">
        <v>22</v>
      </c>
      <c r="F18" s="21">
        <v>58.52</v>
      </c>
      <c r="G18" s="21">
        <v>1287.44</v>
      </c>
      <c r="H18" s="21" t="s">
        <v>111</v>
      </c>
      <c r="I18" s="21" t="s">
        <v>69</v>
      </c>
      <c r="J18" s="21"/>
      <c r="K18" s="21" t="s">
        <v>27</v>
      </c>
      <c r="L18" s="21" t="s">
        <v>70</v>
      </c>
      <c r="M18" s="22">
        <f t="shared" si="0"/>
        <v>45759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</row>
    <row r="19" spans="1:65" ht="14.25" customHeight="1" x14ac:dyDescent="0.3">
      <c r="A19" s="21" t="s">
        <v>228</v>
      </c>
      <c r="B19" s="21" t="s">
        <v>53</v>
      </c>
      <c r="C19" s="21" t="s">
        <v>67</v>
      </c>
      <c r="D19" s="21" t="s">
        <v>229</v>
      </c>
      <c r="E19" s="21">
        <v>66</v>
      </c>
      <c r="F19" s="21">
        <v>61.56</v>
      </c>
      <c r="G19" s="21">
        <v>4062.96</v>
      </c>
      <c r="H19" s="21" t="s">
        <v>56</v>
      </c>
      <c r="I19" s="21" t="s">
        <v>57</v>
      </c>
      <c r="J19" s="21"/>
      <c r="K19" s="21" t="s">
        <v>34</v>
      </c>
      <c r="L19" s="21" t="s">
        <v>75</v>
      </c>
      <c r="M19" s="22">
        <f t="shared" si="0"/>
        <v>45759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</row>
    <row r="20" spans="1:65" ht="14.25" customHeight="1" x14ac:dyDescent="0.3">
      <c r="A20" s="21" t="s">
        <v>238</v>
      </c>
      <c r="B20" s="21" t="s">
        <v>60</v>
      </c>
      <c r="C20" s="21" t="s">
        <v>67</v>
      </c>
      <c r="D20" s="21" t="s">
        <v>239</v>
      </c>
      <c r="E20" s="21">
        <v>82</v>
      </c>
      <c r="F20" s="21">
        <v>15.14</v>
      </c>
      <c r="G20" s="21">
        <v>1241.48</v>
      </c>
      <c r="H20" s="21" t="s">
        <v>111</v>
      </c>
      <c r="I20" s="21" t="s">
        <v>64</v>
      </c>
      <c r="J20" s="21"/>
      <c r="K20" s="21" t="s">
        <v>27</v>
      </c>
      <c r="L20" s="21" t="s">
        <v>75</v>
      </c>
      <c r="M20" s="22">
        <f t="shared" si="0"/>
        <v>45759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</row>
    <row r="21" spans="1:65" ht="14.25" customHeight="1" x14ac:dyDescent="0.3">
      <c r="A21" s="21" t="s">
        <v>248</v>
      </c>
      <c r="B21" s="21" t="s">
        <v>53</v>
      </c>
      <c r="C21" s="21" t="s">
        <v>61</v>
      </c>
      <c r="D21" s="21" t="s">
        <v>249</v>
      </c>
      <c r="E21" s="21">
        <v>7</v>
      </c>
      <c r="F21" s="21">
        <v>35.79</v>
      </c>
      <c r="G21" s="21">
        <v>250.53</v>
      </c>
      <c r="H21" s="21" t="s">
        <v>56</v>
      </c>
      <c r="I21" s="21" t="s">
        <v>64</v>
      </c>
      <c r="J21" s="21"/>
      <c r="K21" s="21" t="s">
        <v>34</v>
      </c>
      <c r="L21" s="21" t="s">
        <v>75</v>
      </c>
      <c r="M21" s="22">
        <f t="shared" si="0"/>
        <v>45759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</row>
    <row r="22" spans="1:65" ht="14.25" customHeight="1" x14ac:dyDescent="0.3">
      <c r="A22" s="21" t="s">
        <v>258</v>
      </c>
      <c r="B22" s="21" t="s">
        <v>72</v>
      </c>
      <c r="C22" s="21" t="s">
        <v>67</v>
      </c>
      <c r="D22" s="21" t="s">
        <v>259</v>
      </c>
      <c r="E22" s="21">
        <v>29</v>
      </c>
      <c r="F22" s="21">
        <v>73.209999999999994</v>
      </c>
      <c r="G22" s="21">
        <v>2123.09</v>
      </c>
      <c r="H22" s="21" t="s">
        <v>111</v>
      </c>
      <c r="I22" s="21" t="s">
        <v>87</v>
      </c>
      <c r="J22" s="21"/>
      <c r="K22" s="21" t="s">
        <v>27</v>
      </c>
      <c r="L22" s="21" t="s">
        <v>70</v>
      </c>
      <c r="M22" s="22">
        <f t="shared" si="0"/>
        <v>45759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</row>
    <row r="23" spans="1:65" ht="14.25" customHeight="1" x14ac:dyDescent="0.3">
      <c r="A23" s="21" t="s">
        <v>268</v>
      </c>
      <c r="B23" s="21" t="s">
        <v>72</v>
      </c>
      <c r="C23" s="21" t="s">
        <v>54</v>
      </c>
      <c r="D23" s="21" t="s">
        <v>269</v>
      </c>
      <c r="E23" s="21">
        <v>5</v>
      </c>
      <c r="F23" s="21">
        <v>62.11</v>
      </c>
      <c r="G23" s="21">
        <v>310.55</v>
      </c>
      <c r="H23" s="21" t="s">
        <v>74</v>
      </c>
      <c r="I23" s="21" t="s">
        <v>64</v>
      </c>
      <c r="J23" s="21"/>
      <c r="K23" s="21" t="s">
        <v>27</v>
      </c>
      <c r="L23" s="21" t="s">
        <v>70</v>
      </c>
      <c r="M23" s="22">
        <f t="shared" si="0"/>
        <v>45759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</row>
    <row r="24" spans="1:65" ht="14.25" customHeight="1" x14ac:dyDescent="0.3">
      <c r="A24" s="21" t="s">
        <v>278</v>
      </c>
      <c r="B24" s="21" t="s">
        <v>60</v>
      </c>
      <c r="C24" s="21" t="s">
        <v>77</v>
      </c>
      <c r="D24" s="21" t="s">
        <v>279</v>
      </c>
      <c r="E24" s="21">
        <v>30</v>
      </c>
      <c r="F24" s="21">
        <v>96.54</v>
      </c>
      <c r="G24" s="21">
        <v>2896.2</v>
      </c>
      <c r="H24" s="21" t="s">
        <v>56</v>
      </c>
      <c r="I24" s="21" t="s">
        <v>57</v>
      </c>
      <c r="J24" s="21"/>
      <c r="K24" s="21" t="s">
        <v>84</v>
      </c>
      <c r="L24" s="21" t="s">
        <v>75</v>
      </c>
      <c r="M24" s="22">
        <f t="shared" si="0"/>
        <v>45759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</row>
    <row r="25" spans="1:65" ht="14.25" customHeight="1" x14ac:dyDescent="0.3">
      <c r="A25" s="21" t="s">
        <v>288</v>
      </c>
      <c r="B25" s="21" t="s">
        <v>53</v>
      </c>
      <c r="C25" s="21" t="s">
        <v>67</v>
      </c>
      <c r="D25" s="21" t="s">
        <v>289</v>
      </c>
      <c r="E25" s="21">
        <v>44</v>
      </c>
      <c r="F25" s="21">
        <v>10.42</v>
      </c>
      <c r="G25" s="21">
        <v>458.48</v>
      </c>
      <c r="H25" s="21" t="s">
        <v>111</v>
      </c>
      <c r="I25" s="21" t="s">
        <v>64</v>
      </c>
      <c r="J25" s="21"/>
      <c r="K25" s="21" t="s">
        <v>34</v>
      </c>
      <c r="L25" s="21" t="s">
        <v>75</v>
      </c>
      <c r="M25" s="22">
        <f t="shared" si="0"/>
        <v>45759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</row>
    <row r="26" spans="1:65" ht="14.25" customHeight="1" x14ac:dyDescent="0.3">
      <c r="A26" s="21" t="s">
        <v>298</v>
      </c>
      <c r="B26" s="21" t="s">
        <v>60</v>
      </c>
      <c r="C26" s="21" t="s">
        <v>67</v>
      </c>
      <c r="D26" s="21" t="s">
        <v>299</v>
      </c>
      <c r="E26" s="21">
        <v>56</v>
      </c>
      <c r="F26" s="21">
        <v>64.63</v>
      </c>
      <c r="G26" s="21">
        <v>3619.28</v>
      </c>
      <c r="H26" s="21" t="s">
        <v>111</v>
      </c>
      <c r="I26" s="21" t="s">
        <v>64</v>
      </c>
      <c r="J26" s="21"/>
      <c r="K26" s="21" t="s">
        <v>34</v>
      </c>
      <c r="L26" s="21" t="s">
        <v>70</v>
      </c>
      <c r="M26" s="22">
        <f t="shared" si="0"/>
        <v>45759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</row>
    <row r="27" spans="1:65" ht="14.25" customHeight="1" x14ac:dyDescent="0.3">
      <c r="A27" s="21" t="s">
        <v>308</v>
      </c>
      <c r="B27" s="21" t="s">
        <v>72</v>
      </c>
      <c r="C27" s="21" t="s">
        <v>67</v>
      </c>
      <c r="D27" s="21" t="s">
        <v>309</v>
      </c>
      <c r="E27" s="21">
        <v>62</v>
      </c>
      <c r="F27" s="21">
        <v>55.2</v>
      </c>
      <c r="G27" s="21">
        <v>3422.4</v>
      </c>
      <c r="H27" s="21" t="s">
        <v>74</v>
      </c>
      <c r="I27" s="21" t="s">
        <v>69</v>
      </c>
      <c r="J27" s="21"/>
      <c r="K27" s="21" t="s">
        <v>27</v>
      </c>
      <c r="L27" s="21" t="s">
        <v>70</v>
      </c>
      <c r="M27" s="22">
        <f t="shared" si="0"/>
        <v>45759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</row>
    <row r="28" spans="1:65" ht="14.25" customHeight="1" x14ac:dyDescent="0.3">
      <c r="A28" s="21" t="s">
        <v>318</v>
      </c>
      <c r="B28" s="21" t="s">
        <v>72</v>
      </c>
      <c r="C28" s="21" t="s">
        <v>54</v>
      </c>
      <c r="D28" s="21" t="s">
        <v>319</v>
      </c>
      <c r="E28" s="21">
        <v>57</v>
      </c>
      <c r="F28" s="21">
        <v>98.32</v>
      </c>
      <c r="G28" s="21">
        <v>5604.24</v>
      </c>
      <c r="H28" s="21" t="s">
        <v>74</v>
      </c>
      <c r="I28" s="21" t="s">
        <v>57</v>
      </c>
      <c r="J28" s="21"/>
      <c r="K28" s="21" t="s">
        <v>84</v>
      </c>
      <c r="L28" s="21" t="s">
        <v>75</v>
      </c>
      <c r="M28" s="22">
        <f t="shared" si="0"/>
        <v>45759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</row>
    <row r="29" spans="1:65" ht="14.25" customHeight="1" x14ac:dyDescent="0.3">
      <c r="A29" s="21" t="s">
        <v>328</v>
      </c>
      <c r="B29" s="21" t="s">
        <v>60</v>
      </c>
      <c r="C29" s="21" t="s">
        <v>77</v>
      </c>
      <c r="D29" s="21" t="s">
        <v>329</v>
      </c>
      <c r="E29" s="21">
        <v>79</v>
      </c>
      <c r="F29" s="21">
        <v>95.87</v>
      </c>
      <c r="G29" s="21">
        <v>7573.73</v>
      </c>
      <c r="H29" s="21" t="s">
        <v>63</v>
      </c>
      <c r="I29" s="21" t="s">
        <v>57</v>
      </c>
      <c r="J29" s="21"/>
      <c r="K29" s="21" t="s">
        <v>65</v>
      </c>
      <c r="L29" s="21" t="s">
        <v>75</v>
      </c>
      <c r="M29" s="22">
        <f t="shared" si="0"/>
        <v>45759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</row>
    <row r="30" spans="1:65" ht="14.25" customHeight="1" x14ac:dyDescent="0.3">
      <c r="A30" s="21" t="s">
        <v>338</v>
      </c>
      <c r="B30" s="21" t="s">
        <v>60</v>
      </c>
      <c r="C30" s="21" t="s">
        <v>67</v>
      </c>
      <c r="D30" s="21" t="s">
        <v>339</v>
      </c>
      <c r="E30" s="21">
        <v>87</v>
      </c>
      <c r="F30" s="21">
        <v>37.68</v>
      </c>
      <c r="G30" s="21">
        <v>3278.16</v>
      </c>
      <c r="H30" s="21" t="s">
        <v>56</v>
      </c>
      <c r="I30" s="21" t="s">
        <v>57</v>
      </c>
      <c r="J30" s="21"/>
      <c r="K30" s="21" t="s">
        <v>27</v>
      </c>
      <c r="L30" s="21" t="s">
        <v>75</v>
      </c>
      <c r="M30" s="22">
        <f t="shared" si="0"/>
        <v>45759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</row>
    <row r="31" spans="1:65" ht="14.25" customHeight="1" x14ac:dyDescent="0.3">
      <c r="A31" s="21" t="s">
        <v>347</v>
      </c>
      <c r="B31" s="21" t="s">
        <v>53</v>
      </c>
      <c r="C31" s="21" t="s">
        <v>61</v>
      </c>
      <c r="D31" s="21" t="s">
        <v>348</v>
      </c>
      <c r="E31" s="21">
        <v>5</v>
      </c>
      <c r="F31" s="21">
        <v>50.79</v>
      </c>
      <c r="G31" s="21">
        <v>253.95</v>
      </c>
      <c r="H31" s="21" t="s">
        <v>74</v>
      </c>
      <c r="I31" s="21" t="s">
        <v>69</v>
      </c>
      <c r="J31" s="21"/>
      <c r="K31" s="21" t="s">
        <v>27</v>
      </c>
      <c r="L31" s="21" t="s">
        <v>58</v>
      </c>
      <c r="M31" s="22">
        <f t="shared" si="0"/>
        <v>45759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</row>
    <row r="32" spans="1:65" ht="14.25" customHeight="1" x14ac:dyDescent="0.3">
      <c r="A32" s="21" t="s">
        <v>357</v>
      </c>
      <c r="B32" s="21" t="s">
        <v>72</v>
      </c>
      <c r="C32" s="21" t="s">
        <v>61</v>
      </c>
      <c r="D32" s="21" t="s">
        <v>358</v>
      </c>
      <c r="E32" s="21">
        <v>89</v>
      </c>
      <c r="F32" s="21">
        <v>95.15</v>
      </c>
      <c r="G32" s="21">
        <v>8468.35</v>
      </c>
      <c r="H32" s="21" t="s">
        <v>111</v>
      </c>
      <c r="I32" s="21" t="s">
        <v>87</v>
      </c>
      <c r="J32" s="21"/>
      <c r="K32" s="21" t="s">
        <v>27</v>
      </c>
      <c r="L32" s="21" t="s">
        <v>58</v>
      </c>
      <c r="M32" s="22">
        <f t="shared" si="0"/>
        <v>45759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</row>
    <row r="33" spans="1:65" ht="14.25" customHeight="1" x14ac:dyDescent="0.3">
      <c r="A33" s="21" t="s">
        <v>367</v>
      </c>
      <c r="B33" s="21" t="s">
        <v>60</v>
      </c>
      <c r="C33" s="21" t="s">
        <v>54</v>
      </c>
      <c r="D33" s="21" t="s">
        <v>368</v>
      </c>
      <c r="E33" s="21">
        <v>92</v>
      </c>
      <c r="F33" s="21">
        <v>32.14</v>
      </c>
      <c r="G33" s="21">
        <v>2956.88</v>
      </c>
      <c r="H33" s="21" t="s">
        <v>74</v>
      </c>
      <c r="I33" s="21" t="s">
        <v>69</v>
      </c>
      <c r="J33" s="21"/>
      <c r="K33" s="21" t="s">
        <v>84</v>
      </c>
      <c r="L33" s="21" t="s">
        <v>75</v>
      </c>
      <c r="M33" s="22">
        <f t="shared" si="0"/>
        <v>45759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</row>
    <row r="34" spans="1:65" ht="14.25" customHeight="1" x14ac:dyDescent="0.3">
      <c r="A34" s="21" t="s">
        <v>59</v>
      </c>
      <c r="B34" s="21" t="s">
        <v>60</v>
      </c>
      <c r="C34" s="21" t="s">
        <v>61</v>
      </c>
      <c r="D34" s="21" t="s">
        <v>62</v>
      </c>
      <c r="E34" s="21">
        <v>83</v>
      </c>
      <c r="F34" s="21">
        <v>83.2</v>
      </c>
      <c r="G34" s="21">
        <v>6905.6</v>
      </c>
      <c r="H34" s="21" t="s">
        <v>63</v>
      </c>
      <c r="I34" s="21" t="s">
        <v>64</v>
      </c>
      <c r="J34" s="21"/>
      <c r="K34" s="21" t="s">
        <v>65</v>
      </c>
      <c r="L34" s="21" t="s">
        <v>58</v>
      </c>
      <c r="M34" s="22">
        <f>DATE(2025,4,11)</f>
        <v>45758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</row>
    <row r="35" spans="1:65" ht="14.25" customHeight="1" x14ac:dyDescent="0.3">
      <c r="A35" s="21" t="s">
        <v>82</v>
      </c>
      <c r="B35" s="21" t="s">
        <v>53</v>
      </c>
      <c r="C35" s="21" t="s">
        <v>67</v>
      </c>
      <c r="D35" s="21" t="s">
        <v>83</v>
      </c>
      <c r="E35" s="21">
        <v>53</v>
      </c>
      <c r="F35" s="21">
        <v>53.68</v>
      </c>
      <c r="G35" s="21">
        <v>2845.04</v>
      </c>
      <c r="H35" s="21" t="s">
        <v>56</v>
      </c>
      <c r="I35" s="21" t="s">
        <v>57</v>
      </c>
      <c r="J35" s="21"/>
      <c r="K35" s="21" t="s">
        <v>84</v>
      </c>
      <c r="L35" s="21" t="s">
        <v>70</v>
      </c>
      <c r="M35" s="22">
        <f t="shared" ref="M35:M63" si="1">DATE(2025,4,11)</f>
        <v>45758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</row>
    <row r="36" spans="1:65" ht="14.25" customHeight="1" x14ac:dyDescent="0.3">
      <c r="A36" s="21" t="s">
        <v>96</v>
      </c>
      <c r="B36" s="21" t="s">
        <v>72</v>
      </c>
      <c r="C36" s="21" t="s">
        <v>77</v>
      </c>
      <c r="D36" s="21" t="s">
        <v>97</v>
      </c>
      <c r="E36" s="21">
        <v>88</v>
      </c>
      <c r="F36" s="21">
        <v>74.900000000000006</v>
      </c>
      <c r="G36" s="21">
        <v>6591.2000000000007</v>
      </c>
      <c r="H36" s="21" t="s">
        <v>74</v>
      </c>
      <c r="I36" s="21" t="s">
        <v>69</v>
      </c>
      <c r="J36" s="21"/>
      <c r="K36" s="21" t="s">
        <v>84</v>
      </c>
      <c r="L36" s="21" t="s">
        <v>58</v>
      </c>
      <c r="M36" s="22">
        <f t="shared" si="1"/>
        <v>45758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</row>
    <row r="37" spans="1:65" ht="14.25" customHeight="1" x14ac:dyDescent="0.3">
      <c r="A37" s="21" t="s">
        <v>107</v>
      </c>
      <c r="B37" s="21" t="s">
        <v>72</v>
      </c>
      <c r="C37" s="21" t="s">
        <v>54</v>
      </c>
      <c r="D37" s="21" t="s">
        <v>108</v>
      </c>
      <c r="E37" s="21">
        <v>16</v>
      </c>
      <c r="F37" s="21">
        <v>29.63</v>
      </c>
      <c r="G37" s="21">
        <v>474.08</v>
      </c>
      <c r="H37" s="21" t="s">
        <v>56</v>
      </c>
      <c r="I37" s="21" t="s">
        <v>57</v>
      </c>
      <c r="J37" s="21"/>
      <c r="K37" s="21" t="s">
        <v>27</v>
      </c>
      <c r="L37" s="21" t="s">
        <v>75</v>
      </c>
      <c r="M37" s="22">
        <f t="shared" si="1"/>
        <v>45758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</row>
    <row r="38" spans="1:65" ht="14.25" customHeight="1" x14ac:dyDescent="0.3">
      <c r="A38" s="21" t="s">
        <v>119</v>
      </c>
      <c r="B38" s="21" t="s">
        <v>53</v>
      </c>
      <c r="C38" s="21" t="s">
        <v>54</v>
      </c>
      <c r="D38" s="21" t="s">
        <v>120</v>
      </c>
      <c r="E38" s="21">
        <v>23</v>
      </c>
      <c r="F38" s="21">
        <v>37.81</v>
      </c>
      <c r="G38" s="21">
        <v>869.63000000000011</v>
      </c>
      <c r="H38" s="21" t="s">
        <v>111</v>
      </c>
      <c r="I38" s="21" t="s">
        <v>69</v>
      </c>
      <c r="J38" s="21"/>
      <c r="K38" s="21" t="s">
        <v>34</v>
      </c>
      <c r="L38" s="21" t="s">
        <v>70</v>
      </c>
      <c r="M38" s="22">
        <f t="shared" si="1"/>
        <v>45758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</row>
    <row r="39" spans="1:65" ht="14.25" customHeight="1" x14ac:dyDescent="0.3">
      <c r="A39" s="21" t="s">
        <v>130</v>
      </c>
      <c r="B39" s="21" t="s">
        <v>60</v>
      </c>
      <c r="C39" s="21" t="s">
        <v>54</v>
      </c>
      <c r="D39" s="21" t="s">
        <v>131</v>
      </c>
      <c r="E39" s="21">
        <v>12</v>
      </c>
      <c r="F39" s="21">
        <v>38.4</v>
      </c>
      <c r="G39" s="21">
        <v>460.8</v>
      </c>
      <c r="H39" s="21" t="s">
        <v>74</v>
      </c>
      <c r="I39" s="21" t="s">
        <v>87</v>
      </c>
      <c r="J39" s="21"/>
      <c r="K39" s="21" t="s">
        <v>34</v>
      </c>
      <c r="L39" s="21" t="s">
        <v>58</v>
      </c>
      <c r="M39" s="22">
        <f t="shared" si="1"/>
        <v>45758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</row>
    <row r="40" spans="1:65" ht="14.25" customHeight="1" x14ac:dyDescent="0.3">
      <c r="A40" s="21" t="s">
        <v>140</v>
      </c>
      <c r="B40" s="21" t="s">
        <v>53</v>
      </c>
      <c r="C40" s="21" t="s">
        <v>77</v>
      </c>
      <c r="D40" s="21" t="s">
        <v>141</v>
      </c>
      <c r="E40" s="21">
        <v>13</v>
      </c>
      <c r="F40" s="21">
        <v>57.94</v>
      </c>
      <c r="G40" s="21">
        <v>753.22</v>
      </c>
      <c r="H40" s="21" t="s">
        <v>56</v>
      </c>
      <c r="I40" s="21" t="s">
        <v>57</v>
      </c>
      <c r="J40" s="21"/>
      <c r="K40" s="21" t="s">
        <v>27</v>
      </c>
      <c r="L40" s="21" t="s">
        <v>58</v>
      </c>
      <c r="M40" s="22">
        <f t="shared" si="1"/>
        <v>45758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</row>
    <row r="41" spans="1:65" ht="14.25" customHeight="1" x14ac:dyDescent="0.3">
      <c r="A41" s="21" t="s">
        <v>150</v>
      </c>
      <c r="B41" s="21" t="s">
        <v>53</v>
      </c>
      <c r="C41" s="21" t="s">
        <v>54</v>
      </c>
      <c r="D41" s="21" t="s">
        <v>151</v>
      </c>
      <c r="E41" s="21">
        <v>30</v>
      </c>
      <c r="F41" s="21">
        <v>59.21</v>
      </c>
      <c r="G41" s="21">
        <v>1776.3</v>
      </c>
      <c r="H41" s="21" t="s">
        <v>111</v>
      </c>
      <c r="I41" s="21" t="s">
        <v>64</v>
      </c>
      <c r="J41" s="21"/>
      <c r="K41" s="21" t="s">
        <v>34</v>
      </c>
      <c r="L41" s="21" t="s">
        <v>58</v>
      </c>
      <c r="M41" s="22">
        <f t="shared" si="1"/>
        <v>45758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</row>
    <row r="42" spans="1:65" ht="14.25" customHeight="1" x14ac:dyDescent="0.3">
      <c r="A42" s="21" t="s">
        <v>160</v>
      </c>
      <c r="B42" s="21" t="s">
        <v>72</v>
      </c>
      <c r="C42" s="21" t="s">
        <v>67</v>
      </c>
      <c r="D42" s="21" t="s">
        <v>161</v>
      </c>
      <c r="E42" s="21">
        <v>84</v>
      </c>
      <c r="F42" s="21">
        <v>90.09</v>
      </c>
      <c r="G42" s="21">
        <v>7567.56</v>
      </c>
      <c r="H42" s="21" t="s">
        <v>74</v>
      </c>
      <c r="I42" s="21" t="s">
        <v>64</v>
      </c>
      <c r="J42" s="21"/>
      <c r="K42" s="21" t="s">
        <v>65</v>
      </c>
      <c r="L42" s="21" t="s">
        <v>75</v>
      </c>
      <c r="M42" s="22">
        <f t="shared" si="1"/>
        <v>45758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</row>
    <row r="43" spans="1:65" ht="14.25" customHeight="1" x14ac:dyDescent="0.3">
      <c r="A43" s="21" t="s">
        <v>170</v>
      </c>
      <c r="B43" s="21" t="s">
        <v>72</v>
      </c>
      <c r="C43" s="21" t="s">
        <v>67</v>
      </c>
      <c r="D43" s="21" t="s">
        <v>171</v>
      </c>
      <c r="E43" s="21">
        <v>66</v>
      </c>
      <c r="F43" s="21">
        <v>77.19</v>
      </c>
      <c r="G43" s="21">
        <v>5094.54</v>
      </c>
      <c r="H43" s="21" t="s">
        <v>95</v>
      </c>
      <c r="I43" s="21" t="s">
        <v>57</v>
      </c>
      <c r="J43" s="21"/>
      <c r="K43" s="21" t="s">
        <v>84</v>
      </c>
      <c r="L43" s="21" t="s">
        <v>58</v>
      </c>
      <c r="M43" s="22">
        <f t="shared" si="1"/>
        <v>45758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</row>
    <row r="44" spans="1:65" ht="14.25" customHeight="1" x14ac:dyDescent="0.3">
      <c r="A44" s="21" t="s">
        <v>180</v>
      </c>
      <c r="B44" s="21" t="s">
        <v>72</v>
      </c>
      <c r="C44" s="21" t="s">
        <v>77</v>
      </c>
      <c r="D44" s="21" t="s">
        <v>181</v>
      </c>
      <c r="E44" s="21">
        <v>37</v>
      </c>
      <c r="F44" s="21">
        <v>39.94</v>
      </c>
      <c r="G44" s="21">
        <v>1477.78</v>
      </c>
      <c r="H44" s="21" t="s">
        <v>56</v>
      </c>
      <c r="I44" s="21" t="s">
        <v>64</v>
      </c>
      <c r="J44" s="21"/>
      <c r="K44" s="21" t="s">
        <v>34</v>
      </c>
      <c r="L44" s="21" t="s">
        <v>75</v>
      </c>
      <c r="M44" s="22">
        <f t="shared" si="1"/>
        <v>45758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</row>
    <row r="45" spans="1:65" ht="14.25" customHeight="1" x14ac:dyDescent="0.3">
      <c r="A45" s="21" t="s">
        <v>190</v>
      </c>
      <c r="B45" s="21" t="s">
        <v>53</v>
      </c>
      <c r="C45" s="21" t="s">
        <v>61</v>
      </c>
      <c r="D45" s="21" t="s">
        <v>191</v>
      </c>
      <c r="E45" s="21">
        <v>63</v>
      </c>
      <c r="F45" s="21">
        <v>22.35</v>
      </c>
      <c r="G45" s="21">
        <v>1408.05</v>
      </c>
      <c r="H45" s="21" t="s">
        <v>74</v>
      </c>
      <c r="I45" s="21" t="s">
        <v>64</v>
      </c>
      <c r="J45" s="21"/>
      <c r="K45" s="21" t="s">
        <v>84</v>
      </c>
      <c r="L45" s="21" t="s">
        <v>70</v>
      </c>
      <c r="M45" s="22">
        <f t="shared" si="1"/>
        <v>45758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</row>
    <row r="46" spans="1:65" ht="14.25" customHeight="1" x14ac:dyDescent="0.3">
      <c r="A46" s="21" t="s">
        <v>200</v>
      </c>
      <c r="B46" s="21" t="s">
        <v>72</v>
      </c>
      <c r="C46" s="21" t="s">
        <v>61</v>
      </c>
      <c r="D46" s="21" t="s">
        <v>201</v>
      </c>
      <c r="E46" s="21">
        <v>86</v>
      </c>
      <c r="F46" s="21">
        <v>36.51</v>
      </c>
      <c r="G46" s="21">
        <v>3139.86</v>
      </c>
      <c r="H46" s="21" t="s">
        <v>95</v>
      </c>
      <c r="I46" s="21" t="s">
        <v>69</v>
      </c>
      <c r="J46" s="21"/>
      <c r="K46" s="21" t="s">
        <v>65</v>
      </c>
      <c r="L46" s="21" t="s">
        <v>58</v>
      </c>
      <c r="M46" s="22">
        <f t="shared" si="1"/>
        <v>45758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</row>
    <row r="47" spans="1:65" ht="14.25" customHeight="1" x14ac:dyDescent="0.3">
      <c r="A47" s="21" t="s">
        <v>210</v>
      </c>
      <c r="B47" s="21" t="s">
        <v>60</v>
      </c>
      <c r="C47" s="21" t="s">
        <v>61</v>
      </c>
      <c r="D47" s="21" t="s">
        <v>211</v>
      </c>
      <c r="E47" s="21">
        <v>16</v>
      </c>
      <c r="F47" s="21">
        <v>14.7</v>
      </c>
      <c r="G47" s="21">
        <v>235.2</v>
      </c>
      <c r="H47" s="21" t="s">
        <v>74</v>
      </c>
      <c r="I47" s="21" t="s">
        <v>57</v>
      </c>
      <c r="J47" s="21"/>
      <c r="K47" s="21" t="s">
        <v>34</v>
      </c>
      <c r="L47" s="21" t="s">
        <v>75</v>
      </c>
      <c r="M47" s="22">
        <f t="shared" si="1"/>
        <v>45758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</row>
    <row r="48" spans="1:65" ht="14.25" customHeight="1" x14ac:dyDescent="0.3">
      <c r="A48" s="21" t="s">
        <v>220</v>
      </c>
      <c r="B48" s="21" t="s">
        <v>53</v>
      </c>
      <c r="C48" s="21" t="s">
        <v>77</v>
      </c>
      <c r="D48" s="21" t="s">
        <v>221</v>
      </c>
      <c r="E48" s="21">
        <v>76</v>
      </c>
      <c r="F48" s="21">
        <v>21.86</v>
      </c>
      <c r="G48" s="21">
        <v>1661.36</v>
      </c>
      <c r="H48" s="21" t="s">
        <v>63</v>
      </c>
      <c r="I48" s="21" t="s">
        <v>69</v>
      </c>
      <c r="J48" s="21"/>
      <c r="K48" s="21" t="s">
        <v>84</v>
      </c>
      <c r="L48" s="21" t="s">
        <v>58</v>
      </c>
      <c r="M48" s="22">
        <f t="shared" si="1"/>
        <v>45758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</row>
    <row r="49" spans="1:65" ht="14.25" customHeight="1" x14ac:dyDescent="0.3">
      <c r="A49" s="21" t="s">
        <v>230</v>
      </c>
      <c r="B49" s="21" t="s">
        <v>60</v>
      </c>
      <c r="C49" s="21" t="s">
        <v>77</v>
      </c>
      <c r="D49" s="21" t="s">
        <v>231</v>
      </c>
      <c r="E49" s="21">
        <v>6</v>
      </c>
      <c r="F49" s="21">
        <v>57.67</v>
      </c>
      <c r="G49" s="21">
        <v>346.02</v>
      </c>
      <c r="H49" s="21" t="s">
        <v>74</v>
      </c>
      <c r="I49" s="21" t="s">
        <v>69</v>
      </c>
      <c r="J49" s="21"/>
      <c r="K49" s="21" t="s">
        <v>34</v>
      </c>
      <c r="L49" s="21" t="s">
        <v>70</v>
      </c>
      <c r="M49" s="22">
        <f t="shared" si="1"/>
        <v>45758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</row>
    <row r="50" spans="1:65" ht="14.25" customHeight="1" x14ac:dyDescent="0.3">
      <c r="A50" s="21" t="s">
        <v>240</v>
      </c>
      <c r="B50" s="21" t="s">
        <v>53</v>
      </c>
      <c r="C50" s="21" t="s">
        <v>77</v>
      </c>
      <c r="D50" s="21" t="s">
        <v>241</v>
      </c>
      <c r="E50" s="21">
        <v>41</v>
      </c>
      <c r="F50" s="21">
        <v>99.95</v>
      </c>
      <c r="G50" s="21">
        <v>4097.95</v>
      </c>
      <c r="H50" s="21" t="s">
        <v>56</v>
      </c>
      <c r="I50" s="21" t="s">
        <v>69</v>
      </c>
      <c r="J50" s="21"/>
      <c r="K50" s="21" t="s">
        <v>27</v>
      </c>
      <c r="L50" s="21" t="s">
        <v>75</v>
      </c>
      <c r="M50" s="22">
        <f t="shared" si="1"/>
        <v>45758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</row>
    <row r="51" spans="1:65" ht="14.25" customHeight="1" x14ac:dyDescent="0.3">
      <c r="A51" s="21" t="s">
        <v>250</v>
      </c>
      <c r="B51" s="21" t="s">
        <v>60</v>
      </c>
      <c r="C51" s="21" t="s">
        <v>61</v>
      </c>
      <c r="D51" s="21" t="s">
        <v>251</v>
      </c>
      <c r="E51" s="21">
        <v>88</v>
      </c>
      <c r="F51" s="21">
        <v>76.040000000000006</v>
      </c>
      <c r="G51" s="21">
        <v>6691.52</v>
      </c>
      <c r="H51" s="21" t="s">
        <v>56</v>
      </c>
      <c r="I51" s="21" t="s">
        <v>57</v>
      </c>
      <c r="J51" s="21"/>
      <c r="K51" s="21" t="s">
        <v>34</v>
      </c>
      <c r="L51" s="21" t="s">
        <v>70</v>
      </c>
      <c r="M51" s="22">
        <f t="shared" si="1"/>
        <v>45758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</row>
    <row r="52" spans="1:65" ht="14.25" customHeight="1" x14ac:dyDescent="0.3">
      <c r="A52" s="21" t="s">
        <v>260</v>
      </c>
      <c r="B52" s="21" t="s">
        <v>72</v>
      </c>
      <c r="C52" s="21" t="s">
        <v>67</v>
      </c>
      <c r="D52" s="21" t="s">
        <v>261</v>
      </c>
      <c r="E52" s="21">
        <v>36</v>
      </c>
      <c r="F52" s="21">
        <v>26.88</v>
      </c>
      <c r="G52" s="21">
        <v>967.68</v>
      </c>
      <c r="H52" s="21" t="s">
        <v>95</v>
      </c>
      <c r="I52" s="21" t="s">
        <v>64</v>
      </c>
      <c r="J52" s="21"/>
      <c r="K52" s="21" t="s">
        <v>27</v>
      </c>
      <c r="L52" s="21" t="s">
        <v>75</v>
      </c>
      <c r="M52" s="22">
        <f t="shared" si="1"/>
        <v>45758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</row>
    <row r="53" spans="1:65" ht="14.25" customHeight="1" x14ac:dyDescent="0.3">
      <c r="A53" s="21" t="s">
        <v>270</v>
      </c>
      <c r="B53" s="21" t="s">
        <v>72</v>
      </c>
      <c r="C53" s="21" t="s">
        <v>77</v>
      </c>
      <c r="D53" s="21" t="s">
        <v>271</v>
      </c>
      <c r="E53" s="21">
        <v>97</v>
      </c>
      <c r="F53" s="21">
        <v>27.48</v>
      </c>
      <c r="G53" s="21">
        <v>2665.56</v>
      </c>
      <c r="H53" s="21" t="s">
        <v>95</v>
      </c>
      <c r="I53" s="21" t="s">
        <v>87</v>
      </c>
      <c r="J53" s="21"/>
      <c r="K53" s="21" t="s">
        <v>65</v>
      </c>
      <c r="L53" s="21" t="s">
        <v>58</v>
      </c>
      <c r="M53" s="22">
        <f t="shared" si="1"/>
        <v>45758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</row>
    <row r="54" spans="1:65" ht="14.25" customHeight="1" x14ac:dyDescent="0.3">
      <c r="A54" s="21" t="s">
        <v>280</v>
      </c>
      <c r="B54" s="21" t="s">
        <v>60</v>
      </c>
      <c r="C54" s="21" t="s">
        <v>67</v>
      </c>
      <c r="D54" s="21" t="s">
        <v>281</v>
      </c>
      <c r="E54" s="21">
        <v>27</v>
      </c>
      <c r="F54" s="21">
        <v>98.59</v>
      </c>
      <c r="G54" s="21">
        <v>2661.93</v>
      </c>
      <c r="H54" s="21" t="s">
        <v>111</v>
      </c>
      <c r="I54" s="21" t="s">
        <v>64</v>
      </c>
      <c r="J54" s="21"/>
      <c r="K54" s="21" t="s">
        <v>65</v>
      </c>
      <c r="L54" s="21" t="s">
        <v>58</v>
      </c>
      <c r="M54" s="22">
        <f t="shared" si="1"/>
        <v>45758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</row>
    <row r="55" spans="1:65" ht="14.25" customHeight="1" x14ac:dyDescent="0.3">
      <c r="A55" s="21" t="s">
        <v>290</v>
      </c>
      <c r="B55" s="21" t="s">
        <v>53</v>
      </c>
      <c r="C55" s="21" t="s">
        <v>67</v>
      </c>
      <c r="D55" s="21" t="s">
        <v>291</v>
      </c>
      <c r="E55" s="21">
        <v>7</v>
      </c>
      <c r="F55" s="21">
        <v>13.69</v>
      </c>
      <c r="G55" s="21">
        <v>95.83</v>
      </c>
      <c r="H55" s="21" t="s">
        <v>63</v>
      </c>
      <c r="I55" s="21" t="s">
        <v>69</v>
      </c>
      <c r="J55" s="21"/>
      <c r="K55" s="21" t="s">
        <v>84</v>
      </c>
      <c r="L55" s="21" t="s">
        <v>70</v>
      </c>
      <c r="M55" s="22">
        <f t="shared" si="1"/>
        <v>45758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</row>
    <row r="56" spans="1:65" ht="14.25" customHeight="1" x14ac:dyDescent="0.3">
      <c r="A56" s="21" t="s">
        <v>300</v>
      </c>
      <c r="B56" s="21" t="s">
        <v>60</v>
      </c>
      <c r="C56" s="21" t="s">
        <v>77</v>
      </c>
      <c r="D56" s="21" t="s">
        <v>301</v>
      </c>
      <c r="E56" s="21">
        <v>15</v>
      </c>
      <c r="F56" s="21">
        <v>23.26</v>
      </c>
      <c r="G56" s="21">
        <v>348.9</v>
      </c>
      <c r="H56" s="21" t="s">
        <v>63</v>
      </c>
      <c r="I56" s="21" t="s">
        <v>57</v>
      </c>
      <c r="J56" s="21"/>
      <c r="K56" s="21" t="s">
        <v>84</v>
      </c>
      <c r="L56" s="21" t="s">
        <v>75</v>
      </c>
      <c r="M56" s="22">
        <f t="shared" si="1"/>
        <v>45758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</row>
    <row r="57" spans="1:65" ht="14.25" customHeight="1" x14ac:dyDescent="0.3">
      <c r="A57" s="21" t="s">
        <v>310</v>
      </c>
      <c r="B57" s="21" t="s">
        <v>53</v>
      </c>
      <c r="C57" s="21" t="s">
        <v>67</v>
      </c>
      <c r="D57" s="21" t="s">
        <v>311</v>
      </c>
      <c r="E57" s="21">
        <v>49</v>
      </c>
      <c r="F57" s="21">
        <v>89.51</v>
      </c>
      <c r="G57" s="21">
        <v>4385.9900000000007</v>
      </c>
      <c r="H57" s="21" t="s">
        <v>63</v>
      </c>
      <c r="I57" s="21" t="s">
        <v>69</v>
      </c>
      <c r="J57" s="21"/>
      <c r="K57" s="21" t="s">
        <v>27</v>
      </c>
      <c r="L57" s="21" t="s">
        <v>70</v>
      </c>
      <c r="M57" s="22">
        <f t="shared" si="1"/>
        <v>45758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</row>
    <row r="58" spans="1:65" ht="14.25" customHeight="1" x14ac:dyDescent="0.3">
      <c r="A58" s="21" t="s">
        <v>320</v>
      </c>
      <c r="B58" s="21" t="s">
        <v>53</v>
      </c>
      <c r="C58" s="21" t="s">
        <v>67</v>
      </c>
      <c r="D58" s="21" t="s">
        <v>321</v>
      </c>
      <c r="E58" s="21">
        <v>95</v>
      </c>
      <c r="F58" s="21">
        <v>46.91</v>
      </c>
      <c r="G58" s="21">
        <v>4456.45</v>
      </c>
      <c r="H58" s="21" t="s">
        <v>74</v>
      </c>
      <c r="I58" s="21" t="s">
        <v>69</v>
      </c>
      <c r="J58" s="21"/>
      <c r="K58" s="21" t="s">
        <v>34</v>
      </c>
      <c r="L58" s="21" t="s">
        <v>58</v>
      </c>
      <c r="M58" s="22">
        <f t="shared" si="1"/>
        <v>45758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</row>
    <row r="59" spans="1:65" ht="14.25" customHeight="1" x14ac:dyDescent="0.3">
      <c r="A59" s="21" t="s">
        <v>330</v>
      </c>
      <c r="B59" s="21" t="s">
        <v>72</v>
      </c>
      <c r="C59" s="21" t="s">
        <v>67</v>
      </c>
      <c r="D59" s="21" t="s">
        <v>331</v>
      </c>
      <c r="E59" s="21">
        <v>74</v>
      </c>
      <c r="F59" s="21">
        <v>14.96</v>
      </c>
      <c r="G59" s="21">
        <v>1107.04</v>
      </c>
      <c r="H59" s="21" t="s">
        <v>63</v>
      </c>
      <c r="I59" s="21" t="s">
        <v>57</v>
      </c>
      <c r="J59" s="21"/>
      <c r="K59" s="21" t="s">
        <v>34</v>
      </c>
      <c r="L59" s="21" t="s">
        <v>75</v>
      </c>
      <c r="M59" s="22">
        <f t="shared" si="1"/>
        <v>45758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</row>
    <row r="60" spans="1:65" ht="14.25" customHeight="1" x14ac:dyDescent="0.3">
      <c r="A60" s="21" t="s">
        <v>340</v>
      </c>
      <c r="B60" s="21" t="s">
        <v>60</v>
      </c>
      <c r="C60" s="21" t="s">
        <v>61</v>
      </c>
      <c r="D60" s="21" t="s">
        <v>341</v>
      </c>
      <c r="E60" s="21">
        <v>32</v>
      </c>
      <c r="F60" s="21">
        <v>69.010000000000005</v>
      </c>
      <c r="G60" s="21">
        <v>2208.3200000000002</v>
      </c>
      <c r="H60" s="21" t="s">
        <v>56</v>
      </c>
      <c r="I60" s="21" t="s">
        <v>64</v>
      </c>
      <c r="J60" s="21"/>
      <c r="K60" s="21" t="s">
        <v>34</v>
      </c>
      <c r="L60" s="21" t="s">
        <v>70</v>
      </c>
      <c r="M60" s="22">
        <f t="shared" si="1"/>
        <v>45758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</row>
    <row r="61" spans="1:65" ht="14.25" customHeight="1" x14ac:dyDescent="0.3">
      <c r="A61" s="21" t="s">
        <v>349</v>
      </c>
      <c r="B61" s="21" t="s">
        <v>72</v>
      </c>
      <c r="C61" s="21" t="s">
        <v>67</v>
      </c>
      <c r="D61" s="21" t="s">
        <v>350</v>
      </c>
      <c r="E61" s="21">
        <v>76</v>
      </c>
      <c r="F61" s="21">
        <v>72.099999999999994</v>
      </c>
      <c r="G61" s="21">
        <v>5479.5999999999995</v>
      </c>
      <c r="H61" s="21" t="s">
        <v>95</v>
      </c>
      <c r="I61" s="21" t="s">
        <v>64</v>
      </c>
      <c r="J61" s="21"/>
      <c r="K61" s="21" t="s">
        <v>65</v>
      </c>
      <c r="L61" s="21" t="s">
        <v>75</v>
      </c>
      <c r="M61" s="22">
        <f t="shared" si="1"/>
        <v>45758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</row>
    <row r="62" spans="1:65" ht="14.25" customHeight="1" x14ac:dyDescent="0.3">
      <c r="A62" s="21" t="s">
        <v>359</v>
      </c>
      <c r="B62" s="21" t="s">
        <v>60</v>
      </c>
      <c r="C62" s="21" t="s">
        <v>67</v>
      </c>
      <c r="D62" s="21" t="s">
        <v>360</v>
      </c>
      <c r="E62" s="21">
        <v>6</v>
      </c>
      <c r="F62" s="21">
        <v>14.57</v>
      </c>
      <c r="G62" s="21">
        <v>87.42</v>
      </c>
      <c r="H62" s="21" t="s">
        <v>63</v>
      </c>
      <c r="I62" s="21" t="s">
        <v>69</v>
      </c>
      <c r="J62" s="21"/>
      <c r="K62" s="21" t="s">
        <v>84</v>
      </c>
      <c r="L62" s="21" t="s">
        <v>70</v>
      </c>
      <c r="M62" s="22">
        <f t="shared" si="1"/>
        <v>45758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</row>
    <row r="63" spans="1:65" ht="14.25" customHeight="1" x14ac:dyDescent="0.3">
      <c r="A63" s="21" t="s">
        <v>369</v>
      </c>
      <c r="B63" s="21" t="s">
        <v>53</v>
      </c>
      <c r="C63" s="21" t="s">
        <v>77</v>
      </c>
      <c r="D63" s="21" t="s">
        <v>370</v>
      </c>
      <c r="E63" s="21">
        <v>78</v>
      </c>
      <c r="F63" s="21">
        <v>14.96</v>
      </c>
      <c r="G63" s="21">
        <v>1166.8800000000001</v>
      </c>
      <c r="H63" s="21" t="s">
        <v>74</v>
      </c>
      <c r="I63" s="21" t="s">
        <v>69</v>
      </c>
      <c r="J63" s="21"/>
      <c r="K63" s="21" t="s">
        <v>84</v>
      </c>
      <c r="L63" s="21" t="s">
        <v>75</v>
      </c>
      <c r="M63" s="22">
        <f t="shared" si="1"/>
        <v>45758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</row>
    <row r="64" spans="1:65" ht="14.25" customHeight="1" x14ac:dyDescent="0.3">
      <c r="A64" s="21" t="s">
        <v>66</v>
      </c>
      <c r="B64" s="21" t="s">
        <v>53</v>
      </c>
      <c r="C64" s="21" t="s">
        <v>67</v>
      </c>
      <c r="D64" s="21" t="s">
        <v>68</v>
      </c>
      <c r="E64" s="21">
        <v>87</v>
      </c>
      <c r="F64" s="21">
        <v>29.52</v>
      </c>
      <c r="G64" s="21">
        <v>2568.2399999999998</v>
      </c>
      <c r="H64" s="21" t="s">
        <v>63</v>
      </c>
      <c r="I64" s="21" t="s">
        <v>69</v>
      </c>
      <c r="J64" s="21"/>
      <c r="K64" s="21" t="s">
        <v>34</v>
      </c>
      <c r="L64" s="21" t="s">
        <v>70</v>
      </c>
      <c r="M64" s="22">
        <f>DATE(2025,4,10)</f>
        <v>45757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</row>
    <row r="65" spans="1:65" ht="14.25" customHeight="1" x14ac:dyDescent="0.3">
      <c r="A65" s="21" t="s">
        <v>85</v>
      </c>
      <c r="B65" s="21" t="s">
        <v>60</v>
      </c>
      <c r="C65" s="21" t="s">
        <v>67</v>
      </c>
      <c r="D65" s="21" t="s">
        <v>86</v>
      </c>
      <c r="E65" s="21">
        <v>76</v>
      </c>
      <c r="F65" s="21">
        <v>40.520000000000003</v>
      </c>
      <c r="G65" s="21">
        <v>3079.52</v>
      </c>
      <c r="H65" s="21" t="s">
        <v>74</v>
      </c>
      <c r="I65" s="21" t="s">
        <v>87</v>
      </c>
      <c r="J65" s="21"/>
      <c r="K65" s="21" t="s">
        <v>84</v>
      </c>
      <c r="L65" s="21" t="s">
        <v>70</v>
      </c>
      <c r="M65" s="22">
        <f t="shared" ref="M65:M93" si="2">DATE(2025,4,10)</f>
        <v>45757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</row>
    <row r="66" spans="1:65" ht="14.25" customHeight="1" x14ac:dyDescent="0.3">
      <c r="A66" s="21" t="s">
        <v>98</v>
      </c>
      <c r="B66" s="21" t="s">
        <v>60</v>
      </c>
      <c r="C66" s="21" t="s">
        <v>77</v>
      </c>
      <c r="D66" s="21" t="s">
        <v>99</v>
      </c>
      <c r="E66" s="21">
        <v>47</v>
      </c>
      <c r="F66" s="21">
        <v>42.86</v>
      </c>
      <c r="G66" s="21">
        <v>2014.42</v>
      </c>
      <c r="H66" s="21" t="s">
        <v>56</v>
      </c>
      <c r="I66" s="21" t="s">
        <v>57</v>
      </c>
      <c r="J66" s="21"/>
      <c r="K66" s="21" t="s">
        <v>34</v>
      </c>
      <c r="L66" s="21" t="s">
        <v>75</v>
      </c>
      <c r="M66" s="22">
        <f t="shared" si="2"/>
        <v>45757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</row>
    <row r="67" spans="1:65" ht="14.25" customHeight="1" x14ac:dyDescent="0.3">
      <c r="A67" s="21" t="s">
        <v>109</v>
      </c>
      <c r="B67" s="21" t="s">
        <v>72</v>
      </c>
      <c r="C67" s="21" t="s">
        <v>77</v>
      </c>
      <c r="D67" s="21" t="s">
        <v>110</v>
      </c>
      <c r="E67" s="21">
        <v>61</v>
      </c>
      <c r="F67" s="21">
        <v>59.07</v>
      </c>
      <c r="G67" s="21">
        <v>3603.27</v>
      </c>
      <c r="H67" s="21" t="s">
        <v>111</v>
      </c>
      <c r="I67" s="21" t="s">
        <v>64</v>
      </c>
      <c r="J67" s="21"/>
      <c r="K67" s="21" t="s">
        <v>34</v>
      </c>
      <c r="L67" s="21" t="s">
        <v>70</v>
      </c>
      <c r="M67" s="22">
        <f t="shared" si="2"/>
        <v>45757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</row>
    <row r="68" spans="1:65" ht="14.25" customHeight="1" x14ac:dyDescent="0.3">
      <c r="A68" s="21" t="s">
        <v>121</v>
      </c>
      <c r="B68" s="21" t="s">
        <v>53</v>
      </c>
      <c r="C68" s="21" t="s">
        <v>61</v>
      </c>
      <c r="D68" s="21" t="s">
        <v>122</v>
      </c>
      <c r="E68" s="21">
        <v>9</v>
      </c>
      <c r="F68" s="21">
        <v>61.05</v>
      </c>
      <c r="G68" s="21">
        <v>549.44999999999993</v>
      </c>
      <c r="H68" s="21" t="s">
        <v>74</v>
      </c>
      <c r="I68" s="21" t="s">
        <v>64</v>
      </c>
      <c r="J68" s="21"/>
      <c r="K68" s="21" t="s">
        <v>27</v>
      </c>
      <c r="L68" s="21" t="s">
        <v>58</v>
      </c>
      <c r="M68" s="22">
        <f t="shared" si="2"/>
        <v>45757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</row>
    <row r="69" spans="1:65" ht="14.25" customHeight="1" x14ac:dyDescent="0.3">
      <c r="A69" s="21" t="s">
        <v>132</v>
      </c>
      <c r="B69" s="21" t="s">
        <v>72</v>
      </c>
      <c r="C69" s="21" t="s">
        <v>61</v>
      </c>
      <c r="D69" s="21" t="s">
        <v>133</v>
      </c>
      <c r="E69" s="21">
        <v>8</v>
      </c>
      <c r="F69" s="21">
        <v>25.05</v>
      </c>
      <c r="G69" s="21">
        <v>200.4</v>
      </c>
      <c r="H69" s="21" t="s">
        <v>63</v>
      </c>
      <c r="I69" s="21" t="s">
        <v>64</v>
      </c>
      <c r="J69" s="21"/>
      <c r="K69" s="21" t="s">
        <v>65</v>
      </c>
      <c r="L69" s="21" t="s">
        <v>70</v>
      </c>
      <c r="M69" s="22">
        <f t="shared" si="2"/>
        <v>45757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</row>
    <row r="70" spans="1:65" ht="14.25" customHeight="1" x14ac:dyDescent="0.3">
      <c r="A70" s="21" t="s">
        <v>142</v>
      </c>
      <c r="B70" s="21" t="s">
        <v>53</v>
      </c>
      <c r="C70" s="21" t="s">
        <v>61</v>
      </c>
      <c r="D70" s="21" t="s">
        <v>143</v>
      </c>
      <c r="E70" s="21">
        <v>4</v>
      </c>
      <c r="F70" s="21">
        <v>30.54</v>
      </c>
      <c r="G70" s="21">
        <v>122.16</v>
      </c>
      <c r="H70" s="21" t="s">
        <v>95</v>
      </c>
      <c r="I70" s="21" t="s">
        <v>64</v>
      </c>
      <c r="J70" s="21"/>
      <c r="K70" s="21" t="s">
        <v>34</v>
      </c>
      <c r="L70" s="21" t="s">
        <v>75</v>
      </c>
      <c r="M70" s="22">
        <f t="shared" si="2"/>
        <v>45757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</row>
    <row r="71" spans="1:65" ht="14.25" customHeight="1" x14ac:dyDescent="0.3">
      <c r="A71" s="21" t="s">
        <v>152</v>
      </c>
      <c r="B71" s="21" t="s">
        <v>72</v>
      </c>
      <c r="C71" s="21" t="s">
        <v>54</v>
      </c>
      <c r="D71" s="21" t="s">
        <v>153</v>
      </c>
      <c r="E71" s="21">
        <v>32</v>
      </c>
      <c r="F71" s="21">
        <v>86.87</v>
      </c>
      <c r="G71" s="21">
        <v>2779.84</v>
      </c>
      <c r="H71" s="21" t="s">
        <v>95</v>
      </c>
      <c r="I71" s="21" t="s">
        <v>57</v>
      </c>
      <c r="J71" s="21"/>
      <c r="K71" s="21" t="s">
        <v>34</v>
      </c>
      <c r="L71" s="21" t="s">
        <v>58</v>
      </c>
      <c r="M71" s="22">
        <f t="shared" si="2"/>
        <v>45757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</row>
    <row r="72" spans="1:65" ht="14.25" customHeight="1" x14ac:dyDescent="0.3">
      <c r="A72" s="21" t="s">
        <v>162</v>
      </c>
      <c r="B72" s="21" t="s">
        <v>53</v>
      </c>
      <c r="C72" s="21" t="s">
        <v>61</v>
      </c>
      <c r="D72" s="21" t="s">
        <v>163</v>
      </c>
      <c r="E72" s="21">
        <v>25</v>
      </c>
      <c r="F72" s="21">
        <v>66.77</v>
      </c>
      <c r="G72" s="21">
        <v>1669.25</v>
      </c>
      <c r="H72" s="21" t="s">
        <v>74</v>
      </c>
      <c r="I72" s="21" t="s">
        <v>64</v>
      </c>
      <c r="J72" s="21"/>
      <c r="K72" s="21" t="s">
        <v>27</v>
      </c>
      <c r="L72" s="21" t="s">
        <v>70</v>
      </c>
      <c r="M72" s="22">
        <f t="shared" si="2"/>
        <v>45757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</row>
    <row r="73" spans="1:65" ht="14.25" customHeight="1" x14ac:dyDescent="0.3">
      <c r="A73" s="21" t="s">
        <v>172</v>
      </c>
      <c r="B73" s="21" t="s">
        <v>60</v>
      </c>
      <c r="C73" s="21" t="s">
        <v>67</v>
      </c>
      <c r="D73" s="21" t="s">
        <v>173</v>
      </c>
      <c r="E73" s="21">
        <v>9</v>
      </c>
      <c r="F73" s="21">
        <v>38.25</v>
      </c>
      <c r="G73" s="21">
        <v>344.25</v>
      </c>
      <c r="H73" s="21" t="s">
        <v>56</v>
      </c>
      <c r="I73" s="21" t="s">
        <v>69</v>
      </c>
      <c r="J73" s="21"/>
      <c r="K73" s="21" t="s">
        <v>27</v>
      </c>
      <c r="L73" s="21" t="s">
        <v>70</v>
      </c>
      <c r="M73" s="22">
        <f t="shared" si="2"/>
        <v>45757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</row>
    <row r="74" spans="1:65" ht="14.25" customHeight="1" x14ac:dyDescent="0.3">
      <c r="A74" s="21" t="s">
        <v>182</v>
      </c>
      <c r="B74" s="21" t="s">
        <v>53</v>
      </c>
      <c r="C74" s="21" t="s">
        <v>54</v>
      </c>
      <c r="D74" s="21" t="s">
        <v>183</v>
      </c>
      <c r="E74" s="21">
        <v>7</v>
      </c>
      <c r="F74" s="21">
        <v>84.81</v>
      </c>
      <c r="G74" s="21">
        <v>593.67000000000007</v>
      </c>
      <c r="H74" s="21" t="s">
        <v>63</v>
      </c>
      <c r="I74" s="21" t="s">
        <v>87</v>
      </c>
      <c r="J74" s="21"/>
      <c r="K74" s="21" t="s">
        <v>65</v>
      </c>
      <c r="L74" s="21" t="s">
        <v>58</v>
      </c>
      <c r="M74" s="22">
        <f t="shared" si="2"/>
        <v>45757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</row>
    <row r="75" spans="1:65" ht="14.25" customHeight="1" x14ac:dyDescent="0.3">
      <c r="A75" s="21" t="s">
        <v>192</v>
      </c>
      <c r="B75" s="21" t="s">
        <v>53</v>
      </c>
      <c r="C75" s="21" t="s">
        <v>54</v>
      </c>
      <c r="D75" s="21" t="s">
        <v>193</v>
      </c>
      <c r="E75" s="21">
        <v>99</v>
      </c>
      <c r="F75" s="21">
        <v>43.28</v>
      </c>
      <c r="G75" s="21">
        <v>4284.72</v>
      </c>
      <c r="H75" s="21" t="s">
        <v>63</v>
      </c>
      <c r="I75" s="21" t="s">
        <v>57</v>
      </c>
      <c r="J75" s="21"/>
      <c r="K75" s="21" t="s">
        <v>34</v>
      </c>
      <c r="L75" s="21" t="s">
        <v>58</v>
      </c>
      <c r="M75" s="22">
        <f t="shared" si="2"/>
        <v>45757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</row>
    <row r="76" spans="1:65" ht="14.25" customHeight="1" x14ac:dyDescent="0.3">
      <c r="A76" s="21" t="s">
        <v>202</v>
      </c>
      <c r="B76" s="21" t="s">
        <v>72</v>
      </c>
      <c r="C76" s="21" t="s">
        <v>77</v>
      </c>
      <c r="D76" s="21" t="s">
        <v>203</v>
      </c>
      <c r="E76" s="21">
        <v>82</v>
      </c>
      <c r="F76" s="21">
        <v>95.87</v>
      </c>
      <c r="G76" s="21">
        <v>7861.34</v>
      </c>
      <c r="H76" s="21" t="s">
        <v>74</v>
      </c>
      <c r="I76" s="21" t="s">
        <v>64</v>
      </c>
      <c r="J76" s="21"/>
      <c r="K76" s="21" t="s">
        <v>27</v>
      </c>
      <c r="L76" s="21" t="s">
        <v>58</v>
      </c>
      <c r="M76" s="22">
        <f t="shared" si="2"/>
        <v>45757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</row>
    <row r="77" spans="1:65" ht="14.25" customHeight="1" x14ac:dyDescent="0.3">
      <c r="A77" s="21" t="s">
        <v>212</v>
      </c>
      <c r="B77" s="21" t="s">
        <v>72</v>
      </c>
      <c r="C77" s="21" t="s">
        <v>77</v>
      </c>
      <c r="D77" s="21" t="s">
        <v>213</v>
      </c>
      <c r="E77" s="21">
        <v>11</v>
      </c>
      <c r="F77" s="21">
        <v>90.05</v>
      </c>
      <c r="G77" s="21">
        <v>990.55</v>
      </c>
      <c r="H77" s="21" t="s">
        <v>63</v>
      </c>
      <c r="I77" s="21" t="s">
        <v>57</v>
      </c>
      <c r="J77" s="21"/>
      <c r="K77" s="21" t="s">
        <v>34</v>
      </c>
      <c r="L77" s="21" t="s">
        <v>75</v>
      </c>
      <c r="M77" s="22">
        <f t="shared" si="2"/>
        <v>45757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</row>
    <row r="78" spans="1:65" ht="14.25" customHeight="1" x14ac:dyDescent="0.3">
      <c r="A78" s="21" t="s">
        <v>222</v>
      </c>
      <c r="B78" s="21" t="s">
        <v>53</v>
      </c>
      <c r="C78" s="21" t="s">
        <v>61</v>
      </c>
      <c r="D78" s="21" t="s">
        <v>223</v>
      </c>
      <c r="E78" s="21">
        <v>49</v>
      </c>
      <c r="F78" s="21">
        <v>83.06</v>
      </c>
      <c r="G78" s="21">
        <v>4069.94</v>
      </c>
      <c r="H78" s="21" t="s">
        <v>95</v>
      </c>
      <c r="I78" s="21" t="s">
        <v>64</v>
      </c>
      <c r="J78" s="21"/>
      <c r="K78" s="21" t="s">
        <v>84</v>
      </c>
      <c r="L78" s="21" t="s">
        <v>58</v>
      </c>
      <c r="M78" s="22">
        <f t="shared" si="2"/>
        <v>45757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</row>
    <row r="79" spans="1:65" ht="14.25" customHeight="1" x14ac:dyDescent="0.3">
      <c r="A79" s="21" t="s">
        <v>232</v>
      </c>
      <c r="B79" s="21" t="s">
        <v>72</v>
      </c>
      <c r="C79" s="21" t="s">
        <v>61</v>
      </c>
      <c r="D79" s="21" t="s">
        <v>233</v>
      </c>
      <c r="E79" s="21">
        <v>60</v>
      </c>
      <c r="F79" s="21">
        <v>78.06</v>
      </c>
      <c r="G79" s="21">
        <v>4683.6000000000004</v>
      </c>
      <c r="H79" s="21" t="s">
        <v>56</v>
      </c>
      <c r="I79" s="21" t="s">
        <v>64</v>
      </c>
      <c r="J79" s="21"/>
      <c r="K79" s="21" t="s">
        <v>65</v>
      </c>
      <c r="L79" s="21" t="s">
        <v>58</v>
      </c>
      <c r="M79" s="22">
        <f t="shared" si="2"/>
        <v>45757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</row>
    <row r="80" spans="1:65" ht="14.25" customHeight="1" x14ac:dyDescent="0.3">
      <c r="A80" s="21" t="s">
        <v>242</v>
      </c>
      <c r="B80" s="21" t="s">
        <v>72</v>
      </c>
      <c r="C80" s="21" t="s">
        <v>54</v>
      </c>
      <c r="D80" s="21" t="s">
        <v>243</v>
      </c>
      <c r="E80" s="21">
        <v>7</v>
      </c>
      <c r="F80" s="21">
        <v>79.739999999999995</v>
      </c>
      <c r="G80" s="21">
        <v>558.17999999999995</v>
      </c>
      <c r="H80" s="21" t="s">
        <v>63</v>
      </c>
      <c r="I80" s="21" t="s">
        <v>87</v>
      </c>
      <c r="J80" s="21"/>
      <c r="K80" s="21" t="s">
        <v>65</v>
      </c>
      <c r="L80" s="21" t="s">
        <v>58</v>
      </c>
      <c r="M80" s="22">
        <f t="shared" si="2"/>
        <v>45757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</row>
    <row r="81" spans="1:65" ht="14.25" customHeight="1" x14ac:dyDescent="0.3">
      <c r="A81" s="21" t="s">
        <v>252</v>
      </c>
      <c r="B81" s="21" t="s">
        <v>72</v>
      </c>
      <c r="C81" s="21" t="s">
        <v>67</v>
      </c>
      <c r="D81" s="21" t="s">
        <v>253</v>
      </c>
      <c r="E81" s="21">
        <v>75</v>
      </c>
      <c r="F81" s="21">
        <v>25.37</v>
      </c>
      <c r="G81" s="21">
        <v>1902.75</v>
      </c>
      <c r="H81" s="21" t="s">
        <v>56</v>
      </c>
      <c r="I81" s="21" t="s">
        <v>57</v>
      </c>
      <c r="J81" s="21"/>
      <c r="K81" s="21" t="s">
        <v>27</v>
      </c>
      <c r="L81" s="21" t="s">
        <v>58</v>
      </c>
      <c r="M81" s="22">
        <f t="shared" si="2"/>
        <v>45757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</row>
    <row r="82" spans="1:65" ht="14.25" customHeight="1" x14ac:dyDescent="0.3">
      <c r="A82" s="21" t="s">
        <v>262</v>
      </c>
      <c r="B82" s="21" t="s">
        <v>60</v>
      </c>
      <c r="C82" s="21" t="s">
        <v>61</v>
      </c>
      <c r="D82" s="21" t="s">
        <v>263</v>
      </c>
      <c r="E82" s="21">
        <v>64</v>
      </c>
      <c r="F82" s="21">
        <v>48.57</v>
      </c>
      <c r="G82" s="21">
        <v>3108.48</v>
      </c>
      <c r="H82" s="21" t="s">
        <v>74</v>
      </c>
      <c r="I82" s="21" t="s">
        <v>87</v>
      </c>
      <c r="J82" s="21"/>
      <c r="K82" s="21" t="s">
        <v>34</v>
      </c>
      <c r="L82" s="21" t="s">
        <v>70</v>
      </c>
      <c r="M82" s="22">
        <f t="shared" si="2"/>
        <v>45757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</row>
    <row r="83" spans="1:65" ht="14.25" customHeight="1" x14ac:dyDescent="0.3">
      <c r="A83" s="21" t="s">
        <v>272</v>
      </c>
      <c r="B83" s="21" t="s">
        <v>72</v>
      </c>
      <c r="C83" s="21" t="s">
        <v>67</v>
      </c>
      <c r="D83" s="21" t="s">
        <v>273</v>
      </c>
      <c r="E83" s="21">
        <v>13</v>
      </c>
      <c r="F83" s="21">
        <v>23.85</v>
      </c>
      <c r="G83" s="21">
        <v>310.05</v>
      </c>
      <c r="H83" s="21" t="s">
        <v>63</v>
      </c>
      <c r="I83" s="21" t="s">
        <v>69</v>
      </c>
      <c r="J83" s="21"/>
      <c r="K83" s="21" t="s">
        <v>84</v>
      </c>
      <c r="L83" s="21" t="s">
        <v>75</v>
      </c>
      <c r="M83" s="22">
        <f t="shared" si="2"/>
        <v>45757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</row>
    <row r="84" spans="1:65" ht="14.25" customHeight="1" x14ac:dyDescent="0.3">
      <c r="A84" s="21" t="s">
        <v>282</v>
      </c>
      <c r="B84" s="21" t="s">
        <v>72</v>
      </c>
      <c r="C84" s="21" t="s">
        <v>61</v>
      </c>
      <c r="D84" s="21" t="s">
        <v>283</v>
      </c>
      <c r="E84" s="21">
        <v>78</v>
      </c>
      <c r="F84" s="21">
        <v>89.25</v>
      </c>
      <c r="G84" s="21">
        <v>6961.5</v>
      </c>
      <c r="H84" s="21" t="s">
        <v>111</v>
      </c>
      <c r="I84" s="21" t="s">
        <v>64</v>
      </c>
      <c r="J84" s="21"/>
      <c r="K84" s="21" t="s">
        <v>34</v>
      </c>
      <c r="L84" s="21" t="s">
        <v>58</v>
      </c>
      <c r="M84" s="22">
        <f t="shared" si="2"/>
        <v>45757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</row>
    <row r="85" spans="1:65" ht="14.25" customHeight="1" x14ac:dyDescent="0.3">
      <c r="A85" s="21" t="s">
        <v>292</v>
      </c>
      <c r="B85" s="21" t="s">
        <v>60</v>
      </c>
      <c r="C85" s="21" t="s">
        <v>54</v>
      </c>
      <c r="D85" s="21" t="s">
        <v>293</v>
      </c>
      <c r="E85" s="21">
        <v>86</v>
      </c>
      <c r="F85" s="21">
        <v>27.42</v>
      </c>
      <c r="G85" s="21">
        <v>2358.12</v>
      </c>
      <c r="H85" s="21" t="s">
        <v>111</v>
      </c>
      <c r="I85" s="21" t="s">
        <v>57</v>
      </c>
      <c r="J85" s="21"/>
      <c r="K85" s="21" t="s">
        <v>65</v>
      </c>
      <c r="L85" s="21" t="s">
        <v>70</v>
      </c>
      <c r="M85" s="22">
        <f t="shared" si="2"/>
        <v>45757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</row>
    <row r="86" spans="1:65" ht="14.25" customHeight="1" x14ac:dyDescent="0.3">
      <c r="A86" s="21" t="s">
        <v>302</v>
      </c>
      <c r="B86" s="21" t="s">
        <v>53</v>
      </c>
      <c r="C86" s="21" t="s">
        <v>67</v>
      </c>
      <c r="D86" s="21" t="s">
        <v>303</v>
      </c>
      <c r="E86" s="21">
        <v>46</v>
      </c>
      <c r="F86" s="21">
        <v>34.409999999999997</v>
      </c>
      <c r="G86" s="21">
        <v>1582.86</v>
      </c>
      <c r="H86" s="21" t="s">
        <v>74</v>
      </c>
      <c r="I86" s="21" t="s">
        <v>87</v>
      </c>
      <c r="J86" s="21"/>
      <c r="K86" s="21" t="s">
        <v>84</v>
      </c>
      <c r="L86" s="21" t="s">
        <v>58</v>
      </c>
      <c r="M86" s="22">
        <f t="shared" si="2"/>
        <v>45757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</row>
    <row r="87" spans="1:65" ht="14.25" customHeight="1" x14ac:dyDescent="0.3">
      <c r="A87" s="21" t="s">
        <v>312</v>
      </c>
      <c r="B87" s="21" t="s">
        <v>72</v>
      </c>
      <c r="C87" s="21" t="s">
        <v>54</v>
      </c>
      <c r="D87" s="21" t="s">
        <v>313</v>
      </c>
      <c r="E87" s="21">
        <v>31</v>
      </c>
      <c r="F87" s="21">
        <v>19.3</v>
      </c>
      <c r="G87" s="21">
        <v>598.30000000000007</v>
      </c>
      <c r="H87" s="21" t="s">
        <v>63</v>
      </c>
      <c r="I87" s="21" t="s">
        <v>87</v>
      </c>
      <c r="J87" s="21"/>
      <c r="K87" s="21" t="s">
        <v>84</v>
      </c>
      <c r="L87" s="21" t="s">
        <v>58</v>
      </c>
      <c r="M87" s="22">
        <f t="shared" si="2"/>
        <v>45757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</row>
    <row r="88" spans="1:65" ht="14.25" customHeight="1" x14ac:dyDescent="0.3">
      <c r="A88" s="21" t="s">
        <v>322</v>
      </c>
      <c r="B88" s="21" t="s">
        <v>60</v>
      </c>
      <c r="C88" s="21" t="s">
        <v>61</v>
      </c>
      <c r="D88" s="21" t="s">
        <v>323</v>
      </c>
      <c r="E88" s="21">
        <v>99</v>
      </c>
      <c r="F88" s="21">
        <v>26.99</v>
      </c>
      <c r="G88" s="21">
        <v>2672.01</v>
      </c>
      <c r="H88" s="21" t="s">
        <v>63</v>
      </c>
      <c r="I88" s="21" t="s">
        <v>87</v>
      </c>
      <c r="J88" s="21"/>
      <c r="K88" s="21" t="s">
        <v>34</v>
      </c>
      <c r="L88" s="21" t="s">
        <v>70</v>
      </c>
      <c r="M88" s="22">
        <f t="shared" si="2"/>
        <v>45757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</row>
    <row r="89" spans="1:65" ht="14.25" customHeight="1" x14ac:dyDescent="0.3">
      <c r="A89" s="21" t="s">
        <v>332</v>
      </c>
      <c r="B89" s="21" t="s">
        <v>60</v>
      </c>
      <c r="C89" s="21" t="s">
        <v>67</v>
      </c>
      <c r="D89" s="21" t="s">
        <v>333</v>
      </c>
      <c r="E89" s="21">
        <v>95</v>
      </c>
      <c r="F89" s="21">
        <v>97.69</v>
      </c>
      <c r="G89" s="21">
        <v>9280.5499999999993</v>
      </c>
      <c r="H89" s="21" t="s">
        <v>63</v>
      </c>
      <c r="I89" s="21" t="s">
        <v>87</v>
      </c>
      <c r="J89" s="21"/>
      <c r="K89" s="21" t="s">
        <v>27</v>
      </c>
      <c r="L89" s="21" t="s">
        <v>58</v>
      </c>
      <c r="M89" s="22">
        <f t="shared" si="2"/>
        <v>45757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</row>
    <row r="90" spans="1:65" ht="14.25" customHeight="1" x14ac:dyDescent="0.3">
      <c r="A90" s="21" t="s">
        <v>342</v>
      </c>
      <c r="B90" s="21" t="s">
        <v>72</v>
      </c>
      <c r="C90" s="21" t="s">
        <v>67</v>
      </c>
      <c r="D90" s="21" t="s">
        <v>343</v>
      </c>
      <c r="E90" s="21">
        <v>78</v>
      </c>
      <c r="F90" s="21">
        <v>26.96</v>
      </c>
      <c r="G90" s="21">
        <v>2102.88</v>
      </c>
      <c r="H90" s="21" t="s">
        <v>56</v>
      </c>
      <c r="I90" s="21" t="s">
        <v>87</v>
      </c>
      <c r="J90" s="21"/>
      <c r="K90" s="21" t="s">
        <v>65</v>
      </c>
      <c r="L90" s="21" t="s">
        <v>75</v>
      </c>
      <c r="M90" s="22">
        <f t="shared" si="2"/>
        <v>45757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</row>
    <row r="91" spans="1:65" ht="14.25" customHeight="1" x14ac:dyDescent="0.3">
      <c r="A91" s="21" t="s">
        <v>351</v>
      </c>
      <c r="B91" s="21" t="s">
        <v>60</v>
      </c>
      <c r="C91" s="21" t="s">
        <v>77</v>
      </c>
      <c r="D91" s="21" t="s">
        <v>352</v>
      </c>
      <c r="E91" s="21">
        <v>100</v>
      </c>
      <c r="F91" s="21">
        <v>58.89</v>
      </c>
      <c r="G91" s="21">
        <v>5889</v>
      </c>
      <c r="H91" s="21" t="s">
        <v>111</v>
      </c>
      <c r="I91" s="21" t="s">
        <v>87</v>
      </c>
      <c r="J91" s="21"/>
      <c r="K91" s="21" t="s">
        <v>34</v>
      </c>
      <c r="L91" s="21" t="s">
        <v>75</v>
      </c>
      <c r="M91" s="22">
        <f t="shared" si="2"/>
        <v>45757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</row>
    <row r="92" spans="1:65" ht="14.25" customHeight="1" x14ac:dyDescent="0.3">
      <c r="A92" s="21" t="s">
        <v>361</v>
      </c>
      <c r="B92" s="21" t="s">
        <v>60</v>
      </c>
      <c r="C92" s="21" t="s">
        <v>67</v>
      </c>
      <c r="D92" s="21" t="s">
        <v>362</v>
      </c>
      <c r="E92" s="21">
        <v>44</v>
      </c>
      <c r="F92" s="21">
        <v>53.85</v>
      </c>
      <c r="G92" s="21">
        <v>2369.4</v>
      </c>
      <c r="H92" s="21" t="s">
        <v>95</v>
      </c>
      <c r="I92" s="21" t="s">
        <v>64</v>
      </c>
      <c r="J92" s="21"/>
      <c r="K92" s="21" t="s">
        <v>34</v>
      </c>
      <c r="L92" s="21" t="s">
        <v>75</v>
      </c>
      <c r="M92" s="22">
        <f t="shared" si="2"/>
        <v>45757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</row>
    <row r="93" spans="1:65" ht="14.25" customHeight="1" x14ac:dyDescent="0.3">
      <c r="A93" s="21" t="s">
        <v>371</v>
      </c>
      <c r="B93" s="21" t="s">
        <v>72</v>
      </c>
      <c r="C93" s="21" t="s">
        <v>67</v>
      </c>
      <c r="D93" s="21" t="s">
        <v>372</v>
      </c>
      <c r="E93" s="21">
        <v>77</v>
      </c>
      <c r="F93" s="21">
        <v>37.57</v>
      </c>
      <c r="G93" s="21">
        <v>2892.89</v>
      </c>
      <c r="H93" s="21" t="s">
        <v>111</v>
      </c>
      <c r="I93" s="21" t="s">
        <v>69</v>
      </c>
      <c r="J93" s="21"/>
      <c r="K93" s="21" t="s">
        <v>65</v>
      </c>
      <c r="L93" s="21" t="s">
        <v>70</v>
      </c>
      <c r="M93" s="22">
        <f t="shared" si="2"/>
        <v>45757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</row>
    <row r="94" spans="1:65" ht="14.25" customHeight="1" x14ac:dyDescent="0.3">
      <c r="A94" s="21" t="s">
        <v>71</v>
      </c>
      <c r="B94" s="21" t="s">
        <v>72</v>
      </c>
      <c r="C94" s="21" t="s">
        <v>67</v>
      </c>
      <c r="D94" s="21" t="s">
        <v>73</v>
      </c>
      <c r="E94" s="21">
        <v>24</v>
      </c>
      <c r="F94" s="21">
        <v>90.17</v>
      </c>
      <c r="G94" s="21">
        <v>2164.08</v>
      </c>
      <c r="H94" s="21" t="s">
        <v>74</v>
      </c>
      <c r="I94" s="21" t="s">
        <v>57</v>
      </c>
      <c r="J94" s="21"/>
      <c r="K94" s="21" t="s">
        <v>65</v>
      </c>
      <c r="L94" s="21" t="s">
        <v>75</v>
      </c>
      <c r="M94" s="22">
        <f>DATE(2025,4,9)</f>
        <v>45756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</row>
    <row r="95" spans="1:65" ht="14.25" customHeight="1" x14ac:dyDescent="0.3">
      <c r="A95" s="21" t="s">
        <v>88</v>
      </c>
      <c r="B95" s="21" t="s">
        <v>60</v>
      </c>
      <c r="C95" s="21" t="s">
        <v>54</v>
      </c>
      <c r="D95" s="21" t="s">
        <v>89</v>
      </c>
      <c r="E95" s="21">
        <v>48</v>
      </c>
      <c r="F95" s="21">
        <v>43.24</v>
      </c>
      <c r="G95" s="21">
        <v>2075.52</v>
      </c>
      <c r="H95" s="21" t="s">
        <v>63</v>
      </c>
      <c r="I95" s="21" t="s">
        <v>64</v>
      </c>
      <c r="J95" s="21"/>
      <c r="K95" s="21" t="s">
        <v>84</v>
      </c>
      <c r="L95" s="21" t="s">
        <v>58</v>
      </c>
      <c r="M95" s="22">
        <f t="shared" ref="M95:M123" si="3">DATE(2025,4,9)</f>
        <v>45756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</row>
    <row r="96" spans="1:65" ht="14.25" customHeight="1" x14ac:dyDescent="0.3">
      <c r="A96" s="21" t="s">
        <v>100</v>
      </c>
      <c r="B96" s="21" t="s">
        <v>53</v>
      </c>
      <c r="C96" s="21" t="s">
        <v>77</v>
      </c>
      <c r="D96" s="21" t="s">
        <v>101</v>
      </c>
      <c r="E96" s="21">
        <v>29</v>
      </c>
      <c r="F96" s="21">
        <v>33.6</v>
      </c>
      <c r="G96" s="21">
        <v>974.40000000000009</v>
      </c>
      <c r="H96" s="21" t="s">
        <v>56</v>
      </c>
      <c r="I96" s="21" t="s">
        <v>64</v>
      </c>
      <c r="J96" s="21"/>
      <c r="K96" s="21" t="s">
        <v>65</v>
      </c>
      <c r="L96" s="21" t="s">
        <v>58</v>
      </c>
      <c r="M96" s="22">
        <f t="shared" si="3"/>
        <v>45756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</row>
    <row r="97" spans="1:65" ht="14.25" customHeight="1" x14ac:dyDescent="0.3">
      <c r="A97" s="21" t="s">
        <v>112</v>
      </c>
      <c r="B97" s="21" t="s">
        <v>72</v>
      </c>
      <c r="C97" s="21" t="s">
        <v>61</v>
      </c>
      <c r="D97" s="21" t="s">
        <v>113</v>
      </c>
      <c r="E97" s="21">
        <v>43</v>
      </c>
      <c r="F97" s="21">
        <v>17.66</v>
      </c>
      <c r="G97" s="21">
        <v>759.38</v>
      </c>
      <c r="H97" s="21" t="s">
        <v>111</v>
      </c>
      <c r="I97" s="21" t="s">
        <v>69</v>
      </c>
      <c r="J97" s="21"/>
      <c r="K97" s="21" t="s">
        <v>27</v>
      </c>
      <c r="L97" s="21" t="s">
        <v>58</v>
      </c>
      <c r="M97" s="22">
        <f t="shared" si="3"/>
        <v>45756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</row>
    <row r="98" spans="1:65" ht="14.25" customHeight="1" x14ac:dyDescent="0.3">
      <c r="A98" s="21" t="s">
        <v>123</v>
      </c>
      <c r="B98" s="21" t="s">
        <v>60</v>
      </c>
      <c r="C98" s="21" t="s">
        <v>67</v>
      </c>
      <c r="D98" s="21" t="s">
        <v>124</v>
      </c>
      <c r="E98" s="21">
        <v>14</v>
      </c>
      <c r="F98" s="21">
        <v>75.02</v>
      </c>
      <c r="G98" s="21">
        <v>1050.28</v>
      </c>
      <c r="H98" s="21" t="s">
        <v>74</v>
      </c>
      <c r="I98" s="21" t="s">
        <v>57</v>
      </c>
      <c r="J98" s="21"/>
      <c r="K98" s="21" t="s">
        <v>84</v>
      </c>
      <c r="L98" s="21" t="s">
        <v>58</v>
      </c>
      <c r="M98" s="22">
        <f t="shared" si="3"/>
        <v>45756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</row>
    <row r="99" spans="1:65" ht="14.25" customHeight="1" x14ac:dyDescent="0.3">
      <c r="A99" s="21" t="s">
        <v>134</v>
      </c>
      <c r="B99" s="21" t="s">
        <v>53</v>
      </c>
      <c r="C99" s="21" t="s">
        <v>67</v>
      </c>
      <c r="D99" s="21" t="s">
        <v>135</v>
      </c>
      <c r="E99" s="21">
        <v>60</v>
      </c>
      <c r="F99" s="21">
        <v>86.55</v>
      </c>
      <c r="G99" s="21">
        <v>5193</v>
      </c>
      <c r="H99" s="21" t="s">
        <v>74</v>
      </c>
      <c r="I99" s="21" t="s">
        <v>69</v>
      </c>
      <c r="J99" s="21"/>
      <c r="K99" s="21" t="s">
        <v>34</v>
      </c>
      <c r="L99" s="21" t="s">
        <v>70</v>
      </c>
      <c r="M99" s="22">
        <f t="shared" si="3"/>
        <v>45756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</row>
    <row r="100" spans="1:65" ht="14.25" customHeight="1" x14ac:dyDescent="0.3">
      <c r="A100" s="21" t="s">
        <v>144</v>
      </c>
      <c r="B100" s="21" t="s">
        <v>53</v>
      </c>
      <c r="C100" s="21" t="s">
        <v>54</v>
      </c>
      <c r="D100" s="21" t="s">
        <v>145</v>
      </c>
      <c r="E100" s="21">
        <v>78</v>
      </c>
      <c r="F100" s="21">
        <v>63.23</v>
      </c>
      <c r="G100" s="21">
        <v>4931.9399999999996</v>
      </c>
      <c r="H100" s="21" t="s">
        <v>63</v>
      </c>
      <c r="I100" s="21" t="s">
        <v>64</v>
      </c>
      <c r="J100" s="21"/>
      <c r="K100" s="21" t="s">
        <v>65</v>
      </c>
      <c r="L100" s="21" t="s">
        <v>70</v>
      </c>
      <c r="M100" s="22">
        <f t="shared" si="3"/>
        <v>45756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</row>
    <row r="101" spans="1:65" ht="14.25" customHeight="1" x14ac:dyDescent="0.3">
      <c r="A101" s="21" t="s">
        <v>154</v>
      </c>
      <c r="B101" s="21" t="s">
        <v>72</v>
      </c>
      <c r="C101" s="21" t="s">
        <v>54</v>
      </c>
      <c r="D101" s="21" t="s">
        <v>155</v>
      </c>
      <c r="E101" s="21">
        <v>67</v>
      </c>
      <c r="F101" s="21">
        <v>18.52</v>
      </c>
      <c r="G101" s="21">
        <v>1240.8399999999999</v>
      </c>
      <c r="H101" s="21" t="s">
        <v>95</v>
      </c>
      <c r="I101" s="21" t="s">
        <v>87</v>
      </c>
      <c r="J101" s="21"/>
      <c r="K101" s="21" t="s">
        <v>84</v>
      </c>
      <c r="L101" s="21" t="s">
        <v>75</v>
      </c>
      <c r="M101" s="22">
        <f t="shared" si="3"/>
        <v>45756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</row>
    <row r="102" spans="1:65" ht="14.25" customHeight="1" x14ac:dyDescent="0.3">
      <c r="A102" s="21" t="s">
        <v>164</v>
      </c>
      <c r="B102" s="21" t="s">
        <v>53</v>
      </c>
      <c r="C102" s="21" t="s">
        <v>77</v>
      </c>
      <c r="D102" s="21" t="s">
        <v>165</v>
      </c>
      <c r="E102" s="21">
        <v>92</v>
      </c>
      <c r="F102" s="21">
        <v>22.79</v>
      </c>
      <c r="G102" s="21">
        <v>2096.6799999999998</v>
      </c>
      <c r="H102" s="21" t="s">
        <v>63</v>
      </c>
      <c r="I102" s="21" t="s">
        <v>64</v>
      </c>
      <c r="J102" s="21"/>
      <c r="K102" s="21" t="s">
        <v>84</v>
      </c>
      <c r="L102" s="21" t="s">
        <v>70</v>
      </c>
      <c r="M102" s="22">
        <f t="shared" si="3"/>
        <v>45756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</row>
    <row r="103" spans="1:65" ht="14.25" customHeight="1" x14ac:dyDescent="0.3">
      <c r="A103" s="21" t="s">
        <v>174</v>
      </c>
      <c r="B103" s="21" t="s">
        <v>72</v>
      </c>
      <c r="C103" s="21" t="s">
        <v>77</v>
      </c>
      <c r="D103" s="21" t="s">
        <v>175</v>
      </c>
      <c r="E103" s="21">
        <v>17</v>
      </c>
      <c r="F103" s="21">
        <v>51.77</v>
      </c>
      <c r="G103" s="21">
        <v>880.09</v>
      </c>
      <c r="H103" s="21" t="s">
        <v>56</v>
      </c>
      <c r="I103" s="21" t="s">
        <v>57</v>
      </c>
      <c r="J103" s="21"/>
      <c r="K103" s="21" t="s">
        <v>27</v>
      </c>
      <c r="L103" s="21" t="s">
        <v>58</v>
      </c>
      <c r="M103" s="22">
        <f t="shared" si="3"/>
        <v>45756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</row>
    <row r="104" spans="1:65" ht="14.25" customHeight="1" x14ac:dyDescent="0.3">
      <c r="A104" s="21" t="s">
        <v>184</v>
      </c>
      <c r="B104" s="21" t="s">
        <v>60</v>
      </c>
      <c r="C104" s="21" t="s">
        <v>77</v>
      </c>
      <c r="D104" s="21" t="s">
        <v>185</v>
      </c>
      <c r="E104" s="21">
        <v>1</v>
      </c>
      <c r="F104" s="21">
        <v>57.61</v>
      </c>
      <c r="G104" s="21">
        <v>57.61</v>
      </c>
      <c r="H104" s="21" t="s">
        <v>111</v>
      </c>
      <c r="I104" s="21" t="s">
        <v>57</v>
      </c>
      <c r="J104" s="21"/>
      <c r="K104" s="21" t="s">
        <v>65</v>
      </c>
      <c r="L104" s="21" t="s">
        <v>58</v>
      </c>
      <c r="M104" s="22">
        <f t="shared" si="3"/>
        <v>45756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</row>
    <row r="105" spans="1:65" ht="14.25" customHeight="1" x14ac:dyDescent="0.3">
      <c r="A105" s="21" t="s">
        <v>194</v>
      </c>
      <c r="B105" s="21" t="s">
        <v>53</v>
      </c>
      <c r="C105" s="21" t="s">
        <v>77</v>
      </c>
      <c r="D105" s="21" t="s">
        <v>195</v>
      </c>
      <c r="E105" s="21">
        <v>81</v>
      </c>
      <c r="F105" s="21">
        <v>63.77</v>
      </c>
      <c r="G105" s="21">
        <v>5165.37</v>
      </c>
      <c r="H105" s="21" t="s">
        <v>111</v>
      </c>
      <c r="I105" s="21" t="s">
        <v>64</v>
      </c>
      <c r="J105" s="21"/>
      <c r="K105" s="21" t="s">
        <v>34</v>
      </c>
      <c r="L105" s="21" t="s">
        <v>70</v>
      </c>
      <c r="M105" s="22">
        <f t="shared" si="3"/>
        <v>45756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</row>
    <row r="106" spans="1:65" ht="14.25" customHeight="1" x14ac:dyDescent="0.3">
      <c r="A106" s="21" t="s">
        <v>204</v>
      </c>
      <c r="B106" s="21" t="s">
        <v>72</v>
      </c>
      <c r="C106" s="21" t="s">
        <v>77</v>
      </c>
      <c r="D106" s="21" t="s">
        <v>205</v>
      </c>
      <c r="E106" s="21">
        <v>99</v>
      </c>
      <c r="F106" s="21">
        <v>97.91</v>
      </c>
      <c r="G106" s="21">
        <v>9693.09</v>
      </c>
      <c r="H106" s="21" t="s">
        <v>95</v>
      </c>
      <c r="I106" s="21" t="s">
        <v>87</v>
      </c>
      <c r="J106" s="21"/>
      <c r="K106" s="21" t="s">
        <v>34</v>
      </c>
      <c r="L106" s="21" t="s">
        <v>58</v>
      </c>
      <c r="M106" s="22">
        <f t="shared" si="3"/>
        <v>45756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</row>
    <row r="107" spans="1:65" ht="14.25" customHeight="1" x14ac:dyDescent="0.3">
      <c r="A107" s="21" t="s">
        <v>214</v>
      </c>
      <c r="B107" s="21" t="s">
        <v>72</v>
      </c>
      <c r="C107" s="21" t="s">
        <v>67</v>
      </c>
      <c r="D107" s="21" t="s">
        <v>215</v>
      </c>
      <c r="E107" s="21">
        <v>80</v>
      </c>
      <c r="F107" s="21">
        <v>93.49</v>
      </c>
      <c r="G107" s="21">
        <v>7479.2</v>
      </c>
      <c r="H107" s="21" t="s">
        <v>56</v>
      </c>
      <c r="I107" s="21" t="s">
        <v>57</v>
      </c>
      <c r="J107" s="21"/>
      <c r="K107" s="21" t="s">
        <v>34</v>
      </c>
      <c r="L107" s="21" t="s">
        <v>58</v>
      </c>
      <c r="M107" s="22">
        <f t="shared" si="3"/>
        <v>45756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</row>
    <row r="108" spans="1:65" ht="14.25" customHeight="1" x14ac:dyDescent="0.3">
      <c r="A108" s="21" t="s">
        <v>224</v>
      </c>
      <c r="B108" s="21" t="s">
        <v>60</v>
      </c>
      <c r="C108" s="21" t="s">
        <v>61</v>
      </c>
      <c r="D108" s="21" t="s">
        <v>225</v>
      </c>
      <c r="E108" s="21">
        <v>34</v>
      </c>
      <c r="F108" s="21">
        <v>17.2</v>
      </c>
      <c r="G108" s="21">
        <v>584.79999999999995</v>
      </c>
      <c r="H108" s="21" t="s">
        <v>56</v>
      </c>
      <c r="I108" s="21" t="s">
        <v>87</v>
      </c>
      <c r="J108" s="21"/>
      <c r="K108" s="21" t="s">
        <v>65</v>
      </c>
      <c r="L108" s="21" t="s">
        <v>58</v>
      </c>
      <c r="M108" s="22">
        <f t="shared" si="3"/>
        <v>45756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</row>
    <row r="109" spans="1:65" ht="14.25" customHeight="1" x14ac:dyDescent="0.3">
      <c r="A109" s="21" t="s">
        <v>234</v>
      </c>
      <c r="B109" s="21" t="s">
        <v>53</v>
      </c>
      <c r="C109" s="21" t="s">
        <v>54</v>
      </c>
      <c r="D109" s="21" t="s">
        <v>235</v>
      </c>
      <c r="E109" s="21">
        <v>7</v>
      </c>
      <c r="F109" s="21">
        <v>44.56</v>
      </c>
      <c r="G109" s="21">
        <v>311.92</v>
      </c>
      <c r="H109" s="21" t="s">
        <v>74</v>
      </c>
      <c r="I109" s="21" t="s">
        <v>87</v>
      </c>
      <c r="J109" s="21"/>
      <c r="K109" s="21" t="s">
        <v>34</v>
      </c>
      <c r="L109" s="21" t="s">
        <v>58</v>
      </c>
      <c r="M109" s="22">
        <f t="shared" si="3"/>
        <v>45756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</row>
    <row r="110" spans="1:65" ht="14.25" customHeight="1" x14ac:dyDescent="0.3">
      <c r="A110" s="21" t="s">
        <v>244</v>
      </c>
      <c r="B110" s="21" t="s">
        <v>72</v>
      </c>
      <c r="C110" s="21" t="s">
        <v>54</v>
      </c>
      <c r="D110" s="21" t="s">
        <v>245</v>
      </c>
      <c r="E110" s="21">
        <v>61</v>
      </c>
      <c r="F110" s="21">
        <v>86.6</v>
      </c>
      <c r="G110" s="21">
        <v>5282.5999999999995</v>
      </c>
      <c r="H110" s="21" t="s">
        <v>74</v>
      </c>
      <c r="I110" s="21" t="s">
        <v>87</v>
      </c>
      <c r="J110" s="21"/>
      <c r="K110" s="21" t="s">
        <v>84</v>
      </c>
      <c r="L110" s="21" t="s">
        <v>70</v>
      </c>
      <c r="M110" s="22">
        <f t="shared" si="3"/>
        <v>45756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</row>
    <row r="111" spans="1:65" ht="14.25" customHeight="1" x14ac:dyDescent="0.3">
      <c r="A111" s="21" t="s">
        <v>254</v>
      </c>
      <c r="B111" s="21" t="s">
        <v>53</v>
      </c>
      <c r="C111" s="21" t="s">
        <v>67</v>
      </c>
      <c r="D111" s="21" t="s">
        <v>255</v>
      </c>
      <c r="E111" s="21">
        <v>71</v>
      </c>
      <c r="F111" s="21">
        <v>69.52</v>
      </c>
      <c r="G111" s="21">
        <v>4935.92</v>
      </c>
      <c r="H111" s="21" t="s">
        <v>111</v>
      </c>
      <c r="I111" s="21" t="s">
        <v>69</v>
      </c>
      <c r="J111" s="21"/>
      <c r="K111" s="21" t="s">
        <v>27</v>
      </c>
      <c r="L111" s="21" t="s">
        <v>70</v>
      </c>
      <c r="M111" s="22">
        <f t="shared" si="3"/>
        <v>45756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</row>
    <row r="112" spans="1:65" ht="14.25" customHeight="1" x14ac:dyDescent="0.3">
      <c r="A112" s="21" t="s">
        <v>264</v>
      </c>
      <c r="B112" s="21" t="s">
        <v>60</v>
      </c>
      <c r="C112" s="21" t="s">
        <v>77</v>
      </c>
      <c r="D112" s="21" t="s">
        <v>265</v>
      </c>
      <c r="E112" s="21">
        <v>97</v>
      </c>
      <c r="F112" s="21">
        <v>23.4</v>
      </c>
      <c r="G112" s="21">
        <v>2269.8000000000002</v>
      </c>
      <c r="H112" s="21" t="s">
        <v>74</v>
      </c>
      <c r="I112" s="21" t="s">
        <v>64</v>
      </c>
      <c r="J112" s="21"/>
      <c r="K112" s="21" t="s">
        <v>27</v>
      </c>
      <c r="L112" s="21" t="s">
        <v>70</v>
      </c>
      <c r="M112" s="22">
        <f t="shared" si="3"/>
        <v>45756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</row>
    <row r="113" spans="1:65" ht="14.25" customHeight="1" x14ac:dyDescent="0.3">
      <c r="A113" s="21" t="s">
        <v>274</v>
      </c>
      <c r="B113" s="21" t="s">
        <v>72</v>
      </c>
      <c r="C113" s="21" t="s">
        <v>67</v>
      </c>
      <c r="D113" s="21" t="s">
        <v>275</v>
      </c>
      <c r="E113" s="21">
        <v>13</v>
      </c>
      <c r="F113" s="21">
        <v>81.88</v>
      </c>
      <c r="G113" s="21">
        <v>1064.44</v>
      </c>
      <c r="H113" s="21" t="s">
        <v>95</v>
      </c>
      <c r="I113" s="21" t="s">
        <v>57</v>
      </c>
      <c r="J113" s="21"/>
      <c r="K113" s="21" t="s">
        <v>84</v>
      </c>
      <c r="L113" s="21" t="s">
        <v>70</v>
      </c>
      <c r="M113" s="22">
        <f t="shared" si="3"/>
        <v>45756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</row>
    <row r="114" spans="1:65" ht="14.25" customHeight="1" x14ac:dyDescent="0.3">
      <c r="A114" s="21" t="s">
        <v>284</v>
      </c>
      <c r="B114" s="21" t="s">
        <v>53</v>
      </c>
      <c r="C114" s="21" t="s">
        <v>54</v>
      </c>
      <c r="D114" s="21" t="s">
        <v>285</v>
      </c>
      <c r="E114" s="21">
        <v>39</v>
      </c>
      <c r="F114" s="21">
        <v>64.39</v>
      </c>
      <c r="G114" s="21">
        <v>2511.21</v>
      </c>
      <c r="H114" s="21" t="s">
        <v>95</v>
      </c>
      <c r="I114" s="21" t="s">
        <v>64</v>
      </c>
      <c r="J114" s="21"/>
      <c r="K114" s="21" t="s">
        <v>84</v>
      </c>
      <c r="L114" s="21" t="s">
        <v>75</v>
      </c>
      <c r="M114" s="22">
        <f t="shared" si="3"/>
        <v>45756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</row>
    <row r="115" spans="1:65" ht="14.25" customHeight="1" x14ac:dyDescent="0.3">
      <c r="A115" s="21" t="s">
        <v>294</v>
      </c>
      <c r="B115" s="21" t="s">
        <v>53</v>
      </c>
      <c r="C115" s="21" t="s">
        <v>54</v>
      </c>
      <c r="D115" s="21" t="s">
        <v>295</v>
      </c>
      <c r="E115" s="21">
        <v>7</v>
      </c>
      <c r="F115" s="21">
        <v>26.58</v>
      </c>
      <c r="G115" s="21">
        <v>186.06</v>
      </c>
      <c r="H115" s="21" t="s">
        <v>95</v>
      </c>
      <c r="I115" s="21" t="s">
        <v>69</v>
      </c>
      <c r="J115" s="21"/>
      <c r="K115" s="21" t="s">
        <v>27</v>
      </c>
      <c r="L115" s="21" t="s">
        <v>75</v>
      </c>
      <c r="M115" s="22">
        <f t="shared" si="3"/>
        <v>45756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</row>
    <row r="116" spans="1:65" ht="14.25" customHeight="1" x14ac:dyDescent="0.3">
      <c r="A116" s="21" t="s">
        <v>304</v>
      </c>
      <c r="B116" s="21" t="s">
        <v>53</v>
      </c>
      <c r="C116" s="21" t="s">
        <v>67</v>
      </c>
      <c r="D116" s="21" t="s">
        <v>305</v>
      </c>
      <c r="E116" s="21">
        <v>74</v>
      </c>
      <c r="F116" s="21">
        <v>98.61</v>
      </c>
      <c r="G116" s="21">
        <v>7297.14</v>
      </c>
      <c r="H116" s="21" t="s">
        <v>95</v>
      </c>
      <c r="I116" s="21" t="s">
        <v>57</v>
      </c>
      <c r="J116" s="21"/>
      <c r="K116" s="21" t="s">
        <v>27</v>
      </c>
      <c r="L116" s="21" t="s">
        <v>70</v>
      </c>
      <c r="M116" s="22">
        <f t="shared" si="3"/>
        <v>45756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</row>
    <row r="117" spans="1:65" ht="14.25" customHeight="1" x14ac:dyDescent="0.3">
      <c r="A117" s="21" t="s">
        <v>314</v>
      </c>
      <c r="B117" s="21" t="s">
        <v>60</v>
      </c>
      <c r="C117" s="21" t="s">
        <v>54</v>
      </c>
      <c r="D117" s="21" t="s">
        <v>315</v>
      </c>
      <c r="E117" s="21">
        <v>72</v>
      </c>
      <c r="F117" s="21">
        <v>56.2</v>
      </c>
      <c r="G117" s="21">
        <v>4046.4</v>
      </c>
      <c r="H117" s="21" t="s">
        <v>63</v>
      </c>
      <c r="I117" s="21" t="s">
        <v>57</v>
      </c>
      <c r="J117" s="21"/>
      <c r="K117" s="21" t="s">
        <v>65</v>
      </c>
      <c r="L117" s="21" t="s">
        <v>75</v>
      </c>
      <c r="M117" s="22">
        <f t="shared" si="3"/>
        <v>45756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</row>
    <row r="118" spans="1:65" ht="14.25" customHeight="1" x14ac:dyDescent="0.3">
      <c r="A118" s="21" t="s">
        <v>324</v>
      </c>
      <c r="B118" s="21" t="s">
        <v>53</v>
      </c>
      <c r="C118" s="21" t="s">
        <v>54</v>
      </c>
      <c r="D118" s="21" t="s">
        <v>325</v>
      </c>
      <c r="E118" s="21">
        <v>25</v>
      </c>
      <c r="F118" s="21">
        <v>87.11</v>
      </c>
      <c r="G118" s="21">
        <v>2177.75</v>
      </c>
      <c r="H118" s="21" t="s">
        <v>74</v>
      </c>
      <c r="I118" s="21" t="s">
        <v>64</v>
      </c>
      <c r="J118" s="21"/>
      <c r="K118" s="21" t="s">
        <v>34</v>
      </c>
      <c r="L118" s="21" t="s">
        <v>75</v>
      </c>
      <c r="M118" s="22">
        <f t="shared" si="3"/>
        <v>45756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</row>
    <row r="119" spans="1:65" ht="14.25" customHeight="1" x14ac:dyDescent="0.3">
      <c r="A119" s="21" t="s">
        <v>334</v>
      </c>
      <c r="B119" s="21" t="s">
        <v>53</v>
      </c>
      <c r="C119" s="21" t="s">
        <v>77</v>
      </c>
      <c r="D119" s="21" t="s">
        <v>335</v>
      </c>
      <c r="E119" s="21">
        <v>11</v>
      </c>
      <c r="F119" s="21">
        <v>13.14</v>
      </c>
      <c r="G119" s="21">
        <v>144.54</v>
      </c>
      <c r="H119" s="21" t="s">
        <v>74</v>
      </c>
      <c r="I119" s="21" t="s">
        <v>69</v>
      </c>
      <c r="J119" s="21"/>
      <c r="K119" s="21" t="s">
        <v>34</v>
      </c>
      <c r="L119" s="21" t="s">
        <v>70</v>
      </c>
      <c r="M119" s="22">
        <f t="shared" si="3"/>
        <v>45756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</row>
    <row r="120" spans="1:65" ht="14.25" customHeight="1" x14ac:dyDescent="0.3">
      <c r="A120" s="21" t="s">
        <v>344</v>
      </c>
      <c r="B120" s="21" t="s">
        <v>60</v>
      </c>
      <c r="C120" s="21" t="s">
        <v>61</v>
      </c>
      <c r="D120" s="21" t="s">
        <v>159</v>
      </c>
      <c r="E120" s="21">
        <v>23</v>
      </c>
      <c r="F120" s="21">
        <v>72.260000000000005</v>
      </c>
      <c r="G120" s="21">
        <v>1661.98</v>
      </c>
      <c r="H120" s="21" t="s">
        <v>63</v>
      </c>
      <c r="I120" s="21" t="s">
        <v>69</v>
      </c>
      <c r="J120" s="21"/>
      <c r="K120" s="21" t="s">
        <v>27</v>
      </c>
      <c r="L120" s="21" t="s">
        <v>58</v>
      </c>
      <c r="M120" s="22">
        <f t="shared" si="3"/>
        <v>45756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</row>
    <row r="121" spans="1:65" ht="14.25" customHeight="1" x14ac:dyDescent="0.3">
      <c r="A121" s="21" t="s">
        <v>353</v>
      </c>
      <c r="B121" s="21" t="s">
        <v>72</v>
      </c>
      <c r="C121" s="21" t="s">
        <v>67</v>
      </c>
      <c r="D121" s="21" t="s">
        <v>354</v>
      </c>
      <c r="E121" s="21">
        <v>39</v>
      </c>
      <c r="F121" s="21">
        <v>62.2</v>
      </c>
      <c r="G121" s="21">
        <v>2425.8000000000002</v>
      </c>
      <c r="H121" s="21" t="s">
        <v>56</v>
      </c>
      <c r="I121" s="21" t="s">
        <v>87</v>
      </c>
      <c r="J121" s="21"/>
      <c r="K121" s="21" t="s">
        <v>27</v>
      </c>
      <c r="L121" s="21" t="s">
        <v>70</v>
      </c>
      <c r="M121" s="22">
        <f t="shared" si="3"/>
        <v>45756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</row>
    <row r="122" spans="1:65" ht="14.25" customHeight="1" x14ac:dyDescent="0.3">
      <c r="A122" s="21" t="s">
        <v>363</v>
      </c>
      <c r="B122" s="21" t="s">
        <v>53</v>
      </c>
      <c r="C122" s="21" t="s">
        <v>77</v>
      </c>
      <c r="D122" s="21" t="s">
        <v>364</v>
      </c>
      <c r="E122" s="21">
        <v>81</v>
      </c>
      <c r="F122" s="21">
        <v>26.54</v>
      </c>
      <c r="G122" s="21">
        <v>2149.7399999999998</v>
      </c>
      <c r="H122" s="21" t="s">
        <v>111</v>
      </c>
      <c r="I122" s="21" t="s">
        <v>64</v>
      </c>
      <c r="J122" s="21"/>
      <c r="K122" s="21" t="s">
        <v>27</v>
      </c>
      <c r="L122" s="21" t="s">
        <v>58</v>
      </c>
      <c r="M122" s="22">
        <f t="shared" si="3"/>
        <v>45756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</row>
    <row r="123" spans="1:65" ht="14.25" customHeight="1" x14ac:dyDescent="0.3">
      <c r="A123" s="21" t="s">
        <v>373</v>
      </c>
      <c r="B123" s="21" t="s">
        <v>72</v>
      </c>
      <c r="C123" s="21" t="s">
        <v>67</v>
      </c>
      <c r="D123" s="21" t="s">
        <v>374</v>
      </c>
      <c r="E123" s="21">
        <v>9</v>
      </c>
      <c r="F123" s="21">
        <v>85.71</v>
      </c>
      <c r="G123" s="21">
        <v>771.39</v>
      </c>
      <c r="H123" s="21" t="s">
        <v>63</v>
      </c>
      <c r="I123" s="21" t="s">
        <v>87</v>
      </c>
      <c r="J123" s="21"/>
      <c r="K123" s="21" t="s">
        <v>65</v>
      </c>
      <c r="L123" s="21" t="s">
        <v>58</v>
      </c>
      <c r="M123" s="22">
        <f t="shared" si="3"/>
        <v>45756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</row>
    <row r="124" spans="1:65" ht="14.25" customHeight="1" x14ac:dyDescent="0.3">
      <c r="A124" s="21" t="s">
        <v>76</v>
      </c>
      <c r="B124" s="21" t="s">
        <v>60</v>
      </c>
      <c r="C124" s="21" t="s">
        <v>77</v>
      </c>
      <c r="D124" s="21" t="s">
        <v>78</v>
      </c>
      <c r="E124" s="21">
        <v>74</v>
      </c>
      <c r="F124" s="21">
        <v>17.82</v>
      </c>
      <c r="G124" s="21">
        <v>1318.68</v>
      </c>
      <c r="H124" s="21" t="s">
        <v>63</v>
      </c>
      <c r="I124" s="21" t="s">
        <v>57</v>
      </c>
      <c r="J124" s="21" t="s">
        <v>79</v>
      </c>
      <c r="K124" s="21" t="s">
        <v>27</v>
      </c>
      <c r="L124" s="21" t="s">
        <v>70</v>
      </c>
      <c r="M124" s="22">
        <f>DATE(2025,4,8)</f>
        <v>45755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</row>
    <row r="125" spans="1:65" ht="14.25" customHeight="1" x14ac:dyDescent="0.3">
      <c r="A125" s="21" t="s">
        <v>90</v>
      </c>
      <c r="B125" s="21" t="s">
        <v>72</v>
      </c>
      <c r="C125" s="21" t="s">
        <v>77</v>
      </c>
      <c r="D125" s="21" t="s">
        <v>91</v>
      </c>
      <c r="E125" s="21">
        <v>65</v>
      </c>
      <c r="F125" s="21">
        <v>13.56</v>
      </c>
      <c r="G125" s="21">
        <v>881.4</v>
      </c>
      <c r="H125" s="21" t="s">
        <v>74</v>
      </c>
      <c r="I125" s="21" t="s">
        <v>87</v>
      </c>
      <c r="J125" s="21" t="s">
        <v>92</v>
      </c>
      <c r="K125" s="21" t="s">
        <v>65</v>
      </c>
      <c r="L125" s="21" t="s">
        <v>58</v>
      </c>
      <c r="M125" s="22">
        <f t="shared" ref="M125:M153" si="4">DATE(2025,4,8)</f>
        <v>45755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</row>
    <row r="126" spans="1:65" ht="14.25" customHeight="1" x14ac:dyDescent="0.3">
      <c r="A126" s="21" t="s">
        <v>102</v>
      </c>
      <c r="B126" s="21" t="s">
        <v>53</v>
      </c>
      <c r="C126" s="21" t="s">
        <v>54</v>
      </c>
      <c r="D126" s="21" t="s">
        <v>103</v>
      </c>
      <c r="E126" s="21">
        <v>29</v>
      </c>
      <c r="F126" s="21">
        <v>45.42</v>
      </c>
      <c r="G126" s="21">
        <v>1317.18</v>
      </c>
      <c r="H126" s="21" t="s">
        <v>74</v>
      </c>
      <c r="I126" s="21" t="s">
        <v>57</v>
      </c>
      <c r="J126" s="21" t="s">
        <v>104</v>
      </c>
      <c r="K126" s="21" t="s">
        <v>84</v>
      </c>
      <c r="L126" s="21" t="s">
        <v>58</v>
      </c>
      <c r="M126" s="22">
        <f t="shared" si="4"/>
        <v>45755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</row>
    <row r="127" spans="1:65" ht="14.25" customHeight="1" x14ac:dyDescent="0.3">
      <c r="A127" s="21" t="s">
        <v>114</v>
      </c>
      <c r="B127" s="21" t="s">
        <v>72</v>
      </c>
      <c r="C127" s="21" t="s">
        <v>54</v>
      </c>
      <c r="D127" s="21" t="s">
        <v>115</v>
      </c>
      <c r="E127" s="21">
        <v>70</v>
      </c>
      <c r="F127" s="21">
        <v>39.78</v>
      </c>
      <c r="G127" s="21">
        <v>2784.6</v>
      </c>
      <c r="H127" s="21" t="s">
        <v>74</v>
      </c>
      <c r="I127" s="21" t="s">
        <v>57</v>
      </c>
      <c r="J127" s="21" t="s">
        <v>116</v>
      </c>
      <c r="K127" s="21" t="s">
        <v>34</v>
      </c>
      <c r="L127" s="21" t="s">
        <v>58</v>
      </c>
      <c r="M127" s="22">
        <f t="shared" si="4"/>
        <v>45755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</row>
    <row r="128" spans="1:65" ht="14.25" customHeight="1" x14ac:dyDescent="0.3">
      <c r="A128" s="21" t="s">
        <v>125</v>
      </c>
      <c r="B128" s="21" t="s">
        <v>72</v>
      </c>
      <c r="C128" s="21" t="s">
        <v>77</v>
      </c>
      <c r="D128" s="21" t="s">
        <v>126</v>
      </c>
      <c r="E128" s="21">
        <v>100</v>
      </c>
      <c r="F128" s="21">
        <v>19.13</v>
      </c>
      <c r="G128" s="21">
        <v>1913</v>
      </c>
      <c r="H128" s="21" t="s">
        <v>63</v>
      </c>
      <c r="I128" s="21" t="s">
        <v>57</v>
      </c>
      <c r="J128" s="21" t="s">
        <v>127</v>
      </c>
      <c r="K128" s="21" t="s">
        <v>84</v>
      </c>
      <c r="L128" s="21" t="s">
        <v>75</v>
      </c>
      <c r="M128" s="22">
        <f t="shared" si="4"/>
        <v>45755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</row>
    <row r="129" spans="1:65" ht="14.25" customHeight="1" x14ac:dyDescent="0.3">
      <c r="A129" s="21" t="s">
        <v>136</v>
      </c>
      <c r="B129" s="21" t="s">
        <v>72</v>
      </c>
      <c r="C129" s="21" t="s">
        <v>61</v>
      </c>
      <c r="D129" s="21" t="s">
        <v>137</v>
      </c>
      <c r="E129" s="21">
        <v>16</v>
      </c>
      <c r="F129" s="21">
        <v>14.4</v>
      </c>
      <c r="G129" s="21">
        <v>230.4</v>
      </c>
      <c r="H129" s="21" t="s">
        <v>56</v>
      </c>
      <c r="I129" s="21" t="s">
        <v>57</v>
      </c>
      <c r="J129" s="21" t="s">
        <v>79</v>
      </c>
      <c r="K129" s="21" t="s">
        <v>34</v>
      </c>
      <c r="L129" s="21" t="s">
        <v>70</v>
      </c>
      <c r="M129" s="22">
        <f t="shared" si="4"/>
        <v>45755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</row>
    <row r="130" spans="1:65" ht="14.25" customHeight="1" x14ac:dyDescent="0.3">
      <c r="A130" s="21" t="s">
        <v>146</v>
      </c>
      <c r="B130" s="21" t="s">
        <v>53</v>
      </c>
      <c r="C130" s="21" t="s">
        <v>61</v>
      </c>
      <c r="D130" s="21" t="s">
        <v>147</v>
      </c>
      <c r="E130" s="21">
        <v>80</v>
      </c>
      <c r="F130" s="21">
        <v>18.88</v>
      </c>
      <c r="G130" s="21">
        <v>1510.4</v>
      </c>
      <c r="H130" s="21" t="s">
        <v>63</v>
      </c>
      <c r="I130" s="21" t="s">
        <v>87</v>
      </c>
      <c r="J130" s="21" t="s">
        <v>92</v>
      </c>
      <c r="K130" s="21" t="s">
        <v>27</v>
      </c>
      <c r="L130" s="21" t="s">
        <v>75</v>
      </c>
      <c r="M130" s="22">
        <f t="shared" si="4"/>
        <v>45755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</row>
    <row r="131" spans="1:65" ht="14.25" customHeight="1" x14ac:dyDescent="0.3">
      <c r="A131" s="21" t="s">
        <v>156</v>
      </c>
      <c r="B131" s="21" t="s">
        <v>60</v>
      </c>
      <c r="C131" s="21" t="s">
        <v>61</v>
      </c>
      <c r="D131" s="21" t="s">
        <v>157</v>
      </c>
      <c r="E131" s="21">
        <v>69</v>
      </c>
      <c r="F131" s="21">
        <v>40.450000000000003</v>
      </c>
      <c r="G131" s="21">
        <v>2791.05</v>
      </c>
      <c r="H131" s="21" t="s">
        <v>63</v>
      </c>
      <c r="I131" s="21" t="s">
        <v>69</v>
      </c>
      <c r="J131" s="21" t="s">
        <v>104</v>
      </c>
      <c r="K131" s="21" t="s">
        <v>34</v>
      </c>
      <c r="L131" s="21" t="s">
        <v>75</v>
      </c>
      <c r="M131" s="22">
        <f t="shared" si="4"/>
        <v>45755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</row>
    <row r="132" spans="1:65" ht="14.25" customHeight="1" x14ac:dyDescent="0.3">
      <c r="A132" s="21" t="s">
        <v>166</v>
      </c>
      <c r="B132" s="21" t="s">
        <v>72</v>
      </c>
      <c r="C132" s="21" t="s">
        <v>54</v>
      </c>
      <c r="D132" s="21" t="s">
        <v>167</v>
      </c>
      <c r="E132" s="21">
        <v>34</v>
      </c>
      <c r="F132" s="21">
        <v>25.51</v>
      </c>
      <c r="G132" s="21">
        <v>867.34</v>
      </c>
      <c r="H132" s="21" t="s">
        <v>95</v>
      </c>
      <c r="I132" s="21" t="s">
        <v>64</v>
      </c>
      <c r="J132" s="21" t="s">
        <v>116</v>
      </c>
      <c r="K132" s="21" t="s">
        <v>65</v>
      </c>
      <c r="L132" s="21" t="s">
        <v>70</v>
      </c>
      <c r="M132" s="22">
        <f t="shared" si="4"/>
        <v>45755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</row>
    <row r="133" spans="1:65" ht="14.25" customHeight="1" x14ac:dyDescent="0.3">
      <c r="A133" s="21" t="s">
        <v>176</v>
      </c>
      <c r="B133" s="21" t="s">
        <v>72</v>
      </c>
      <c r="C133" s="21" t="s">
        <v>77</v>
      </c>
      <c r="D133" s="21" t="s">
        <v>177</v>
      </c>
      <c r="E133" s="21">
        <v>33</v>
      </c>
      <c r="F133" s="21">
        <v>69.67</v>
      </c>
      <c r="G133" s="21">
        <v>2299.11</v>
      </c>
      <c r="H133" s="21" t="s">
        <v>95</v>
      </c>
      <c r="I133" s="21" t="s">
        <v>69</v>
      </c>
      <c r="J133" s="21" t="s">
        <v>127</v>
      </c>
      <c r="K133" s="21" t="s">
        <v>84</v>
      </c>
      <c r="L133" s="21" t="s">
        <v>58</v>
      </c>
      <c r="M133" s="22">
        <f t="shared" si="4"/>
        <v>45755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</row>
    <row r="134" spans="1:65" ht="14.25" customHeight="1" x14ac:dyDescent="0.3">
      <c r="A134" s="21" t="s">
        <v>186</v>
      </c>
      <c r="B134" s="21" t="s">
        <v>60</v>
      </c>
      <c r="C134" s="21" t="s">
        <v>61</v>
      </c>
      <c r="D134" s="21" t="s">
        <v>187</v>
      </c>
      <c r="E134" s="21">
        <v>100</v>
      </c>
      <c r="F134" s="21">
        <v>84.05</v>
      </c>
      <c r="G134" s="21">
        <v>8405</v>
      </c>
      <c r="H134" s="21" t="s">
        <v>111</v>
      </c>
      <c r="I134" s="21" t="s">
        <v>87</v>
      </c>
      <c r="J134" s="21" t="s">
        <v>79</v>
      </c>
      <c r="K134" s="21" t="s">
        <v>84</v>
      </c>
      <c r="L134" s="21" t="s">
        <v>58</v>
      </c>
      <c r="M134" s="22">
        <f t="shared" si="4"/>
        <v>45755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</row>
    <row r="135" spans="1:65" ht="14.25" customHeight="1" x14ac:dyDescent="0.3">
      <c r="A135" s="21" t="s">
        <v>196</v>
      </c>
      <c r="B135" s="21" t="s">
        <v>60</v>
      </c>
      <c r="C135" s="21" t="s">
        <v>54</v>
      </c>
      <c r="D135" s="21" t="s">
        <v>197</v>
      </c>
      <c r="E135" s="21">
        <v>89</v>
      </c>
      <c r="F135" s="21">
        <v>16.36</v>
      </c>
      <c r="G135" s="21">
        <v>1456.04</v>
      </c>
      <c r="H135" s="21" t="s">
        <v>95</v>
      </c>
      <c r="I135" s="21" t="s">
        <v>64</v>
      </c>
      <c r="J135" s="21" t="s">
        <v>92</v>
      </c>
      <c r="K135" s="21" t="s">
        <v>84</v>
      </c>
      <c r="L135" s="21" t="s">
        <v>70</v>
      </c>
      <c r="M135" s="22">
        <f t="shared" si="4"/>
        <v>45755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</row>
    <row r="136" spans="1:65" ht="14.25" customHeight="1" x14ac:dyDescent="0.3">
      <c r="A136" s="21" t="s">
        <v>206</v>
      </c>
      <c r="B136" s="21" t="s">
        <v>53</v>
      </c>
      <c r="C136" s="21" t="s">
        <v>77</v>
      </c>
      <c r="D136" s="21" t="s">
        <v>207</v>
      </c>
      <c r="E136" s="21">
        <v>97</v>
      </c>
      <c r="F136" s="21">
        <v>11.78</v>
      </c>
      <c r="G136" s="21">
        <v>1142.6600000000001</v>
      </c>
      <c r="H136" s="21" t="s">
        <v>95</v>
      </c>
      <c r="I136" s="21" t="s">
        <v>64</v>
      </c>
      <c r="J136" s="21" t="s">
        <v>104</v>
      </c>
      <c r="K136" s="21" t="s">
        <v>34</v>
      </c>
      <c r="L136" s="21" t="s">
        <v>58</v>
      </c>
      <c r="M136" s="22">
        <f t="shared" si="4"/>
        <v>45755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</row>
    <row r="137" spans="1:65" ht="14.25" customHeight="1" x14ac:dyDescent="0.3">
      <c r="A137" s="21" t="s">
        <v>216</v>
      </c>
      <c r="B137" s="21" t="s">
        <v>72</v>
      </c>
      <c r="C137" s="21" t="s">
        <v>54</v>
      </c>
      <c r="D137" s="21" t="s">
        <v>217</v>
      </c>
      <c r="E137" s="21">
        <v>49</v>
      </c>
      <c r="F137" s="21">
        <v>80.95</v>
      </c>
      <c r="G137" s="21">
        <v>3966.55</v>
      </c>
      <c r="H137" s="21" t="s">
        <v>74</v>
      </c>
      <c r="I137" s="21" t="s">
        <v>87</v>
      </c>
      <c r="J137" s="21" t="s">
        <v>116</v>
      </c>
      <c r="K137" s="21" t="s">
        <v>34</v>
      </c>
      <c r="L137" s="21" t="s">
        <v>70</v>
      </c>
      <c r="M137" s="22">
        <f t="shared" si="4"/>
        <v>45755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</row>
    <row r="138" spans="1:65" ht="14.25" customHeight="1" x14ac:dyDescent="0.3">
      <c r="A138" s="21" t="s">
        <v>226</v>
      </c>
      <c r="B138" s="21" t="s">
        <v>53</v>
      </c>
      <c r="C138" s="21" t="s">
        <v>54</v>
      </c>
      <c r="D138" s="21" t="s">
        <v>227</v>
      </c>
      <c r="E138" s="21">
        <v>57</v>
      </c>
      <c r="F138" s="21">
        <v>13.21</v>
      </c>
      <c r="G138" s="21">
        <v>752.97</v>
      </c>
      <c r="H138" s="21" t="s">
        <v>74</v>
      </c>
      <c r="I138" s="21" t="s">
        <v>69</v>
      </c>
      <c r="J138" s="21" t="s">
        <v>127</v>
      </c>
      <c r="K138" s="21" t="s">
        <v>84</v>
      </c>
      <c r="L138" s="21" t="s">
        <v>70</v>
      </c>
      <c r="M138" s="22">
        <f t="shared" si="4"/>
        <v>45755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</row>
    <row r="139" spans="1:65" ht="14.25" customHeight="1" x14ac:dyDescent="0.3">
      <c r="A139" s="21" t="s">
        <v>236</v>
      </c>
      <c r="B139" s="21" t="s">
        <v>53</v>
      </c>
      <c r="C139" s="21" t="s">
        <v>54</v>
      </c>
      <c r="D139" s="21" t="s">
        <v>237</v>
      </c>
      <c r="E139" s="21">
        <v>72</v>
      </c>
      <c r="F139" s="21">
        <v>84.76</v>
      </c>
      <c r="G139" s="21">
        <v>6102.72</v>
      </c>
      <c r="H139" s="21" t="s">
        <v>95</v>
      </c>
      <c r="I139" s="21" t="s">
        <v>87</v>
      </c>
      <c r="J139" s="21" t="s">
        <v>79</v>
      </c>
      <c r="K139" s="21" t="s">
        <v>34</v>
      </c>
      <c r="L139" s="21" t="s">
        <v>58</v>
      </c>
      <c r="M139" s="22">
        <f t="shared" si="4"/>
        <v>45755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</row>
    <row r="140" spans="1:65" ht="14.25" customHeight="1" x14ac:dyDescent="0.3">
      <c r="A140" s="21" t="s">
        <v>246</v>
      </c>
      <c r="B140" s="21" t="s">
        <v>53</v>
      </c>
      <c r="C140" s="21" t="s">
        <v>67</v>
      </c>
      <c r="D140" s="21" t="s">
        <v>247</v>
      </c>
      <c r="E140" s="21">
        <v>23</v>
      </c>
      <c r="F140" s="21">
        <v>52</v>
      </c>
      <c r="G140" s="21">
        <v>1196</v>
      </c>
      <c r="H140" s="21" t="s">
        <v>111</v>
      </c>
      <c r="I140" s="21" t="s">
        <v>64</v>
      </c>
      <c r="J140" s="21" t="s">
        <v>92</v>
      </c>
      <c r="K140" s="21" t="s">
        <v>65</v>
      </c>
      <c r="L140" s="21" t="s">
        <v>58</v>
      </c>
      <c r="M140" s="22">
        <f t="shared" si="4"/>
        <v>45755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</row>
    <row r="141" spans="1:65" ht="14.25" customHeight="1" x14ac:dyDescent="0.3">
      <c r="A141" s="21" t="s">
        <v>256</v>
      </c>
      <c r="B141" s="21" t="s">
        <v>72</v>
      </c>
      <c r="C141" s="21" t="s">
        <v>54</v>
      </c>
      <c r="D141" s="21" t="s">
        <v>257</v>
      </c>
      <c r="E141" s="21">
        <v>34</v>
      </c>
      <c r="F141" s="21">
        <v>74.33</v>
      </c>
      <c r="G141" s="21">
        <v>2527.2199999999998</v>
      </c>
      <c r="H141" s="21" t="s">
        <v>111</v>
      </c>
      <c r="I141" s="21" t="s">
        <v>69</v>
      </c>
      <c r="J141" s="21" t="s">
        <v>104</v>
      </c>
      <c r="K141" s="21" t="s">
        <v>65</v>
      </c>
      <c r="L141" s="21" t="s">
        <v>58</v>
      </c>
      <c r="M141" s="22">
        <f t="shared" si="4"/>
        <v>45755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</row>
    <row r="142" spans="1:65" ht="14.25" customHeight="1" x14ac:dyDescent="0.3">
      <c r="A142" s="21" t="s">
        <v>266</v>
      </c>
      <c r="B142" s="21" t="s">
        <v>53</v>
      </c>
      <c r="C142" s="21" t="s">
        <v>54</v>
      </c>
      <c r="D142" s="21" t="s">
        <v>267</v>
      </c>
      <c r="E142" s="21">
        <v>59</v>
      </c>
      <c r="F142" s="21">
        <v>91.41</v>
      </c>
      <c r="G142" s="21">
        <v>5393.19</v>
      </c>
      <c r="H142" s="21" t="s">
        <v>56</v>
      </c>
      <c r="I142" s="21" t="s">
        <v>57</v>
      </c>
      <c r="J142" s="21" t="s">
        <v>116</v>
      </c>
      <c r="K142" s="21" t="s">
        <v>27</v>
      </c>
      <c r="L142" s="21" t="s">
        <v>58</v>
      </c>
      <c r="M142" s="22">
        <f t="shared" si="4"/>
        <v>45755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</row>
    <row r="143" spans="1:65" ht="14.25" customHeight="1" x14ac:dyDescent="0.3">
      <c r="A143" s="21" t="s">
        <v>276</v>
      </c>
      <c r="B143" s="21" t="s">
        <v>53</v>
      </c>
      <c r="C143" s="21" t="s">
        <v>77</v>
      </c>
      <c r="D143" s="21" t="s">
        <v>277</v>
      </c>
      <c r="E143" s="21">
        <v>65</v>
      </c>
      <c r="F143" s="21">
        <v>10.44</v>
      </c>
      <c r="G143" s="21">
        <v>678.6</v>
      </c>
      <c r="H143" s="21" t="s">
        <v>63</v>
      </c>
      <c r="I143" s="21" t="s">
        <v>87</v>
      </c>
      <c r="J143" s="21" t="s">
        <v>127</v>
      </c>
      <c r="K143" s="21" t="s">
        <v>27</v>
      </c>
      <c r="L143" s="21" t="s">
        <v>70</v>
      </c>
      <c r="M143" s="22">
        <f t="shared" si="4"/>
        <v>45755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</row>
    <row r="144" spans="1:65" ht="14.25" customHeight="1" x14ac:dyDescent="0.3">
      <c r="A144" s="21" t="s">
        <v>286</v>
      </c>
      <c r="B144" s="21" t="s">
        <v>60</v>
      </c>
      <c r="C144" s="21" t="s">
        <v>67</v>
      </c>
      <c r="D144" s="21" t="s">
        <v>287</v>
      </c>
      <c r="E144" s="21">
        <v>15</v>
      </c>
      <c r="F144" s="21">
        <v>96.1</v>
      </c>
      <c r="G144" s="21">
        <v>1441.5</v>
      </c>
      <c r="H144" s="21" t="s">
        <v>111</v>
      </c>
      <c r="I144" s="21" t="s">
        <v>87</v>
      </c>
      <c r="J144" s="21" t="s">
        <v>79</v>
      </c>
      <c r="K144" s="21" t="s">
        <v>84</v>
      </c>
      <c r="L144" s="21" t="s">
        <v>70</v>
      </c>
      <c r="M144" s="22">
        <f t="shared" si="4"/>
        <v>45755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</row>
    <row r="145" spans="1:65" ht="14.25" customHeight="1" x14ac:dyDescent="0.3">
      <c r="A145" s="21" t="s">
        <v>296</v>
      </c>
      <c r="B145" s="21" t="s">
        <v>60</v>
      </c>
      <c r="C145" s="21" t="s">
        <v>54</v>
      </c>
      <c r="D145" s="21" t="s">
        <v>297</v>
      </c>
      <c r="E145" s="21">
        <v>88</v>
      </c>
      <c r="F145" s="21">
        <v>27.67</v>
      </c>
      <c r="G145" s="21">
        <v>2434.96</v>
      </c>
      <c r="H145" s="21" t="s">
        <v>74</v>
      </c>
      <c r="I145" s="21" t="s">
        <v>69</v>
      </c>
      <c r="J145" s="21" t="s">
        <v>92</v>
      </c>
      <c r="K145" s="21" t="s">
        <v>84</v>
      </c>
      <c r="L145" s="21" t="s">
        <v>58</v>
      </c>
      <c r="M145" s="22">
        <f t="shared" si="4"/>
        <v>45755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</row>
    <row r="146" spans="1:65" ht="14.25" customHeight="1" x14ac:dyDescent="0.3">
      <c r="A146" s="21" t="s">
        <v>306</v>
      </c>
      <c r="B146" s="21" t="s">
        <v>53</v>
      </c>
      <c r="C146" s="21" t="s">
        <v>61</v>
      </c>
      <c r="D146" s="21" t="s">
        <v>307</v>
      </c>
      <c r="E146" s="21">
        <v>14</v>
      </c>
      <c r="F146" s="21">
        <v>29.59</v>
      </c>
      <c r="G146" s="21">
        <v>414.26</v>
      </c>
      <c r="H146" s="21" t="s">
        <v>74</v>
      </c>
      <c r="I146" s="21" t="s">
        <v>57</v>
      </c>
      <c r="J146" s="21" t="s">
        <v>104</v>
      </c>
      <c r="K146" s="21" t="s">
        <v>34</v>
      </c>
      <c r="L146" s="21" t="s">
        <v>75</v>
      </c>
      <c r="M146" s="22">
        <f t="shared" si="4"/>
        <v>45755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</row>
    <row r="147" spans="1:65" ht="14.25" customHeight="1" x14ac:dyDescent="0.3">
      <c r="A147" s="21" t="s">
        <v>316</v>
      </c>
      <c r="B147" s="21" t="s">
        <v>53</v>
      </c>
      <c r="C147" s="21" t="s">
        <v>77</v>
      </c>
      <c r="D147" s="21" t="s">
        <v>317</v>
      </c>
      <c r="E147" s="21">
        <v>36</v>
      </c>
      <c r="F147" s="21">
        <v>80.319999999999993</v>
      </c>
      <c r="G147" s="21">
        <v>2891.52</v>
      </c>
      <c r="H147" s="21" t="s">
        <v>95</v>
      </c>
      <c r="I147" s="21" t="s">
        <v>87</v>
      </c>
      <c r="J147" s="21" t="s">
        <v>116</v>
      </c>
      <c r="K147" s="21" t="s">
        <v>65</v>
      </c>
      <c r="L147" s="21" t="s">
        <v>75</v>
      </c>
      <c r="M147" s="22">
        <f t="shared" si="4"/>
        <v>45755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</row>
    <row r="148" spans="1:65" ht="14.25" customHeight="1" x14ac:dyDescent="0.3">
      <c r="A148" s="21" t="s">
        <v>326</v>
      </c>
      <c r="B148" s="21" t="s">
        <v>53</v>
      </c>
      <c r="C148" s="21" t="s">
        <v>67</v>
      </c>
      <c r="D148" s="21" t="s">
        <v>327</v>
      </c>
      <c r="E148" s="21">
        <v>6</v>
      </c>
      <c r="F148" s="21">
        <v>64.95</v>
      </c>
      <c r="G148" s="21">
        <v>389.7</v>
      </c>
      <c r="H148" s="21" t="s">
        <v>95</v>
      </c>
      <c r="I148" s="21" t="s">
        <v>87</v>
      </c>
      <c r="J148" s="21" t="s">
        <v>127</v>
      </c>
      <c r="K148" s="21" t="s">
        <v>84</v>
      </c>
      <c r="L148" s="21" t="s">
        <v>70</v>
      </c>
      <c r="M148" s="22">
        <f t="shared" si="4"/>
        <v>45755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</row>
    <row r="149" spans="1:65" ht="14.25" customHeight="1" x14ac:dyDescent="0.3">
      <c r="A149" s="21" t="s">
        <v>336</v>
      </c>
      <c r="B149" s="21" t="s">
        <v>53</v>
      </c>
      <c r="C149" s="21" t="s">
        <v>67</v>
      </c>
      <c r="D149" s="21" t="s">
        <v>337</v>
      </c>
      <c r="E149" s="21">
        <v>50</v>
      </c>
      <c r="F149" s="21">
        <v>97.97</v>
      </c>
      <c r="G149" s="21">
        <v>4898.5</v>
      </c>
      <c r="H149" s="21" t="s">
        <v>111</v>
      </c>
      <c r="I149" s="21" t="s">
        <v>69</v>
      </c>
      <c r="J149" s="21" t="s">
        <v>79</v>
      </c>
      <c r="K149" s="21" t="s">
        <v>84</v>
      </c>
      <c r="L149" s="21" t="s">
        <v>70</v>
      </c>
      <c r="M149" s="22">
        <f t="shared" si="4"/>
        <v>45755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</row>
    <row r="150" spans="1:65" ht="14.25" customHeight="1" x14ac:dyDescent="0.3">
      <c r="A150" s="21" t="s">
        <v>345</v>
      </c>
      <c r="B150" s="21" t="s">
        <v>60</v>
      </c>
      <c r="C150" s="21" t="s">
        <v>77</v>
      </c>
      <c r="D150" s="21" t="s">
        <v>346</v>
      </c>
      <c r="E150" s="21">
        <v>19</v>
      </c>
      <c r="F150" s="21">
        <v>33.68</v>
      </c>
      <c r="G150" s="21">
        <v>639.91999999999996</v>
      </c>
      <c r="H150" s="21" t="s">
        <v>95</v>
      </c>
      <c r="I150" s="21" t="s">
        <v>87</v>
      </c>
      <c r="J150" s="21" t="s">
        <v>92</v>
      </c>
      <c r="K150" s="21" t="s">
        <v>84</v>
      </c>
      <c r="L150" s="21" t="s">
        <v>70</v>
      </c>
      <c r="M150" s="22">
        <f t="shared" si="4"/>
        <v>45755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</row>
    <row r="151" spans="1:65" ht="14.25" customHeight="1" x14ac:dyDescent="0.3">
      <c r="A151" s="21" t="s">
        <v>355</v>
      </c>
      <c r="B151" s="21" t="s">
        <v>72</v>
      </c>
      <c r="C151" s="21" t="s">
        <v>61</v>
      </c>
      <c r="D151" s="21" t="s">
        <v>356</v>
      </c>
      <c r="E151" s="21">
        <v>76</v>
      </c>
      <c r="F151" s="21">
        <v>75.569999999999993</v>
      </c>
      <c r="G151" s="21">
        <v>5743.32</v>
      </c>
      <c r="H151" s="21" t="s">
        <v>63</v>
      </c>
      <c r="I151" s="21" t="s">
        <v>64</v>
      </c>
      <c r="J151" s="21" t="s">
        <v>104</v>
      </c>
      <c r="K151" s="21" t="s">
        <v>27</v>
      </c>
      <c r="L151" s="21" t="s">
        <v>75</v>
      </c>
      <c r="M151" s="22">
        <f t="shared" si="4"/>
        <v>45755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</row>
    <row r="152" spans="1:65" ht="14.25" customHeight="1" x14ac:dyDescent="0.3">
      <c r="A152" s="21" t="s">
        <v>365</v>
      </c>
      <c r="B152" s="21" t="s">
        <v>53</v>
      </c>
      <c r="C152" s="21" t="s">
        <v>54</v>
      </c>
      <c r="D152" s="21" t="s">
        <v>366</v>
      </c>
      <c r="E152" s="21">
        <v>79</v>
      </c>
      <c r="F152" s="21">
        <v>29.39</v>
      </c>
      <c r="G152" s="21">
        <v>2321.81</v>
      </c>
      <c r="H152" s="21" t="s">
        <v>56</v>
      </c>
      <c r="I152" s="21" t="s">
        <v>57</v>
      </c>
      <c r="J152" s="21" t="s">
        <v>116</v>
      </c>
      <c r="K152" s="21" t="s">
        <v>84</v>
      </c>
      <c r="L152" s="21" t="s">
        <v>75</v>
      </c>
      <c r="M152" s="22">
        <f t="shared" si="4"/>
        <v>45755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</row>
    <row r="153" spans="1:65" ht="14.25" customHeight="1" x14ac:dyDescent="0.3">
      <c r="A153" s="21" t="s">
        <v>375</v>
      </c>
      <c r="B153" s="21" t="s">
        <v>60</v>
      </c>
      <c r="C153" s="21" t="s">
        <v>61</v>
      </c>
      <c r="D153" s="21" t="s">
        <v>376</v>
      </c>
      <c r="E153" s="21">
        <v>89</v>
      </c>
      <c r="F153" s="21">
        <v>57.4</v>
      </c>
      <c r="G153" s="21">
        <v>5108.5999999999995</v>
      </c>
      <c r="H153" s="21" t="s">
        <v>56</v>
      </c>
      <c r="I153" s="21" t="s">
        <v>57</v>
      </c>
      <c r="J153" s="21" t="s">
        <v>127</v>
      </c>
      <c r="K153" s="21" t="s">
        <v>34</v>
      </c>
      <c r="L153" s="21" t="s">
        <v>58</v>
      </c>
      <c r="M153" s="22">
        <f t="shared" si="4"/>
        <v>45755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</row>
    <row r="154" spans="1:65" ht="14.2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</row>
    <row r="155" spans="1:65" ht="14.2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</row>
    <row r="156" spans="1:65" ht="14.2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</row>
    <row r="157" spans="1:65" ht="14.2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</row>
    <row r="158" spans="1:65" ht="14.2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</row>
    <row r="159" spans="1:65" ht="14.2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</row>
    <row r="160" spans="1:65" ht="14.2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</row>
    <row r="161" spans="1:65" ht="14.2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</row>
    <row r="162" spans="1:65" ht="14.2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</row>
    <row r="163" spans="1:65" ht="14.2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</row>
    <row r="164" spans="1:65" ht="14.2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</row>
    <row r="165" spans="1:65" ht="14.2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</row>
    <row r="166" spans="1:65" ht="14.2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</row>
    <row r="167" spans="1:65" ht="14.2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</row>
  </sheetData>
  <conditionalFormatting sqref="G4:G15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{2467A20B-A4A6-4E2D-9529-106BFB564120}</x14:id>
        </ext>
      </extLst>
    </cfRule>
  </conditionalFormatting>
  <conditionalFormatting sqref="E4:E15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{9E5856B8-6002-4D1F-886B-12531964B9E8}</x14:id>
        </ext>
      </extLst>
    </cfRule>
  </conditionalFormatting>
  <conditionalFormatting sqref="L4:L153">
    <cfRule type="containsText" dxfId="2" priority="1" operator="containsText" text="Completado">
      <formula>NOT(ISERROR(SEARCH("Completado",L4)))</formula>
    </cfRule>
    <cfRule type="containsText" dxfId="1" priority="2" operator="containsText" text="cancelado">
      <formula>NOT(ISERROR(SEARCH("cancelado",L4)))</formula>
    </cfRule>
    <cfRule type="containsText" dxfId="0" priority="3" operator="containsText" text="Pendiente">
      <formula>NOT(ISERROR(SEARCH("Pendiente",L4)))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7A20B-A4A6-4E2D-9529-106BFB564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G4:G153</xm:sqref>
        </x14:conditionalFormatting>
        <x14:conditionalFormatting xmlns:xm="http://schemas.microsoft.com/office/excel/2006/main">
          <x14:cfRule type="dataBar" id="{9E5856B8-6002-4D1F-886B-12531964B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E4:E153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</vt:lpstr>
      <vt:lpstr>Organiza tu info</vt:lpstr>
      <vt:lpstr>RETO Movimientos del 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ANDRES FELIPE MORA AGUILAR</cp:lastModifiedBy>
  <dcterms:created xsi:type="dcterms:W3CDTF">2025-06-30T03:01:06Z</dcterms:created>
  <dcterms:modified xsi:type="dcterms:W3CDTF">2026-04-02T04:01:49Z</dcterms:modified>
</cp:coreProperties>
</file>